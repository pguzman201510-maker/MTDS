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Z:\Deuda\Informes\Perfiles\GNC\Perfil de Vencimientos\2026\"/>
    </mc:Choice>
  </mc:AlternateContent>
  <xr:revisionPtr revIDLastSave="0" documentId="13_ncr:1_{4C6ADF5F-844E-4C71-B09F-9CEC151298B0}" xr6:coauthVersionLast="47" xr6:coauthVersionMax="47" xr10:uidLastSave="{00000000-0000-0000-0000-000000000000}"/>
  <bookViews>
    <workbookView xWindow="-120" yWindow="-120" windowWidth="29040" windowHeight="15720" tabRatio="750" firstSheet="1" activeTab="2" xr2:uid="{00000000-000D-0000-FFFF-FFFF00000000}"/>
  </bookViews>
  <sheets>
    <sheet name="PV Enero 2026" sheetId="12" r:id="rId1"/>
    <sheet name="PV Febrero 2026" sheetId="13" r:id="rId2"/>
    <sheet name="PV Marzo 2026" sheetId="14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8" i="14" l="1"/>
  <c r="K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8" i="14"/>
  <c r="E8" i="14"/>
  <c r="E11" i="14" s="1"/>
  <c r="D9" i="14"/>
  <c r="O9" i="14" s="1"/>
  <c r="D10" i="14"/>
  <c r="O10" i="14" s="1"/>
  <c r="D11" i="14"/>
  <c r="O11" i="14" s="1"/>
  <c r="D12" i="14"/>
  <c r="O12" i="14" s="1"/>
  <c r="D13" i="14"/>
  <c r="O13" i="14" s="1"/>
  <c r="D14" i="14"/>
  <c r="O14" i="14" s="1"/>
  <c r="D15" i="14"/>
  <c r="O15" i="14" s="1"/>
  <c r="D16" i="14"/>
  <c r="O16" i="14" s="1"/>
  <c r="D17" i="14"/>
  <c r="O17" i="14" s="1"/>
  <c r="D18" i="14"/>
  <c r="O18" i="14" s="1"/>
  <c r="D19" i="14"/>
  <c r="O19" i="14" s="1"/>
  <c r="D20" i="14"/>
  <c r="O20" i="14" s="1"/>
  <c r="D21" i="14"/>
  <c r="O21" i="14" s="1"/>
  <c r="D22" i="14"/>
  <c r="O22" i="14" s="1"/>
  <c r="D23" i="14"/>
  <c r="O23" i="14" s="1"/>
  <c r="D24" i="14"/>
  <c r="O24" i="14" s="1"/>
  <c r="D25" i="14"/>
  <c r="O25" i="14" s="1"/>
  <c r="D26" i="14"/>
  <c r="O26" i="14" s="1"/>
  <c r="D27" i="14"/>
  <c r="O27" i="14" s="1"/>
  <c r="D28" i="14"/>
  <c r="O28" i="14" s="1"/>
  <c r="D29" i="14"/>
  <c r="O29" i="14" s="1"/>
  <c r="D30" i="14"/>
  <c r="O30" i="14" s="1"/>
  <c r="D31" i="14"/>
  <c r="O31" i="14" s="1"/>
  <c r="D32" i="14"/>
  <c r="O32" i="14" s="1"/>
  <c r="D33" i="14"/>
  <c r="O33" i="14" s="1"/>
  <c r="D34" i="14"/>
  <c r="O34" i="14" s="1"/>
  <c r="D35" i="14"/>
  <c r="O35" i="14" s="1"/>
  <c r="D36" i="14"/>
  <c r="O36" i="14" s="1"/>
  <c r="D37" i="14"/>
  <c r="O37" i="14" s="1"/>
  <c r="D38" i="14"/>
  <c r="O38" i="14" s="1"/>
  <c r="D39" i="14"/>
  <c r="O39" i="14" s="1"/>
  <c r="D40" i="14"/>
  <c r="D41" i="14"/>
  <c r="D42" i="14"/>
  <c r="D43" i="14"/>
  <c r="D44" i="14"/>
  <c r="F44" i="14" s="1"/>
  <c r="P44" i="14" s="1"/>
  <c r="D8" i="14"/>
  <c r="O8" i="14" s="1"/>
  <c r="C9" i="14"/>
  <c r="N9" i="14" s="1"/>
  <c r="C10" i="14"/>
  <c r="N10" i="14" s="1"/>
  <c r="C11" i="14"/>
  <c r="N11" i="14" s="1"/>
  <c r="C12" i="14"/>
  <c r="N12" i="14" s="1"/>
  <c r="C13" i="14"/>
  <c r="N13" i="14" s="1"/>
  <c r="C14" i="14"/>
  <c r="N14" i="14" s="1"/>
  <c r="C15" i="14"/>
  <c r="N15" i="14" s="1"/>
  <c r="C16" i="14"/>
  <c r="N16" i="14" s="1"/>
  <c r="C17" i="14"/>
  <c r="N17" i="14" s="1"/>
  <c r="C18" i="14"/>
  <c r="N18" i="14" s="1"/>
  <c r="C19" i="14"/>
  <c r="N19" i="14" s="1"/>
  <c r="C20" i="14"/>
  <c r="N20" i="14" s="1"/>
  <c r="C21" i="14"/>
  <c r="N21" i="14" s="1"/>
  <c r="C22" i="14"/>
  <c r="N22" i="14" s="1"/>
  <c r="C23" i="14"/>
  <c r="N23" i="14" s="1"/>
  <c r="C24" i="14"/>
  <c r="N24" i="14" s="1"/>
  <c r="C25" i="14"/>
  <c r="N25" i="14" s="1"/>
  <c r="C26" i="14"/>
  <c r="N26" i="14" s="1"/>
  <c r="C27" i="14"/>
  <c r="N27" i="14" s="1"/>
  <c r="C28" i="14"/>
  <c r="N28" i="14" s="1"/>
  <c r="C29" i="14"/>
  <c r="N29" i="14" s="1"/>
  <c r="C30" i="14"/>
  <c r="N30" i="14" s="1"/>
  <c r="C31" i="14"/>
  <c r="N31" i="14" s="1"/>
  <c r="C32" i="14"/>
  <c r="N32" i="14" s="1"/>
  <c r="C33" i="14"/>
  <c r="N33" i="14" s="1"/>
  <c r="C34" i="14"/>
  <c r="N34" i="14" s="1"/>
  <c r="C35" i="14"/>
  <c r="N35" i="14" s="1"/>
  <c r="C36" i="14"/>
  <c r="N36" i="14" s="1"/>
  <c r="C37" i="14"/>
  <c r="N37" i="14" s="1"/>
  <c r="C38" i="14"/>
  <c r="N38" i="14" s="1"/>
  <c r="C39" i="14"/>
  <c r="N39" i="14" s="1"/>
  <c r="C40" i="14"/>
  <c r="N40" i="14" s="1"/>
  <c r="C41" i="14"/>
  <c r="C42" i="14"/>
  <c r="C43" i="14"/>
  <c r="C44" i="14"/>
  <c r="C8" i="14"/>
  <c r="N8" i="14" s="1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F27" i="14" s="1"/>
  <c r="P27" i="14" s="1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T3" i="14" s="1"/>
  <c r="J5" i="14"/>
  <c r="J3" i="14"/>
  <c r="F3" i="14"/>
  <c r="P47" i="14"/>
  <c r="O47" i="14"/>
  <c r="N47" i="14"/>
  <c r="P46" i="14"/>
  <c r="O46" i="14"/>
  <c r="N46" i="14"/>
  <c r="P45" i="14"/>
  <c r="O45" i="14"/>
  <c r="N45" i="14"/>
  <c r="J44" i="14"/>
  <c r="S44" i="14" s="1"/>
  <c r="O44" i="14"/>
  <c r="N44" i="14"/>
  <c r="F43" i="14"/>
  <c r="P43" i="14" s="1"/>
  <c r="O43" i="14"/>
  <c r="N43" i="14"/>
  <c r="F42" i="14"/>
  <c r="P42" i="14" s="1"/>
  <c r="O42" i="14"/>
  <c r="N42" i="14"/>
  <c r="F41" i="14"/>
  <c r="P41" i="14" s="1"/>
  <c r="O41" i="14"/>
  <c r="N41" i="14"/>
  <c r="J40" i="14"/>
  <c r="S40" i="14" s="1"/>
  <c r="Q40" i="14"/>
  <c r="F40" i="14"/>
  <c r="P40" i="14" s="1"/>
  <c r="O40" i="14"/>
  <c r="R9" i="14"/>
  <c r="A9" i="14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P47" i="13"/>
  <c r="O47" i="13"/>
  <c r="N47" i="13"/>
  <c r="P46" i="13"/>
  <c r="O46" i="13"/>
  <c r="N46" i="13"/>
  <c r="P45" i="13"/>
  <c r="O45" i="13"/>
  <c r="N45" i="13"/>
  <c r="J44" i="13"/>
  <c r="G44" i="13"/>
  <c r="D44" i="13"/>
  <c r="O44" i="13" s="1"/>
  <c r="C44" i="13"/>
  <c r="N44" i="13" s="1"/>
  <c r="B44" i="13"/>
  <c r="I43" i="13"/>
  <c r="H43" i="13"/>
  <c r="G43" i="13"/>
  <c r="D43" i="13"/>
  <c r="O43" i="13" s="1"/>
  <c r="C43" i="13"/>
  <c r="N43" i="13" s="1"/>
  <c r="B43" i="13"/>
  <c r="I42" i="13"/>
  <c r="H42" i="13"/>
  <c r="G42" i="13"/>
  <c r="D42" i="13"/>
  <c r="O42" i="13" s="1"/>
  <c r="C42" i="13"/>
  <c r="N42" i="13" s="1"/>
  <c r="B42" i="13"/>
  <c r="I41" i="13"/>
  <c r="H41" i="13"/>
  <c r="G41" i="13"/>
  <c r="D41" i="13"/>
  <c r="O41" i="13" s="1"/>
  <c r="C41" i="13"/>
  <c r="N41" i="13" s="1"/>
  <c r="B41" i="13"/>
  <c r="F41" i="13" s="1"/>
  <c r="P41" i="13" s="1"/>
  <c r="I40" i="13"/>
  <c r="H40" i="13"/>
  <c r="G40" i="13"/>
  <c r="D40" i="13"/>
  <c r="O40" i="13" s="1"/>
  <c r="C40" i="13"/>
  <c r="N40" i="13" s="1"/>
  <c r="B40" i="13"/>
  <c r="I39" i="13"/>
  <c r="H39" i="13"/>
  <c r="G39" i="13"/>
  <c r="D39" i="13"/>
  <c r="O39" i="13" s="1"/>
  <c r="C39" i="13"/>
  <c r="N39" i="13" s="1"/>
  <c r="B39" i="13"/>
  <c r="I38" i="13"/>
  <c r="J38" i="13" s="1"/>
  <c r="H38" i="13"/>
  <c r="G38" i="13"/>
  <c r="D38" i="13"/>
  <c r="O38" i="13" s="1"/>
  <c r="C38" i="13"/>
  <c r="N38" i="13" s="1"/>
  <c r="B38" i="13"/>
  <c r="I37" i="13"/>
  <c r="H37" i="13"/>
  <c r="G37" i="13"/>
  <c r="D37" i="13"/>
  <c r="O37" i="13" s="1"/>
  <c r="C37" i="13"/>
  <c r="N37" i="13" s="1"/>
  <c r="B37" i="13"/>
  <c r="I36" i="13"/>
  <c r="H36" i="13"/>
  <c r="G36" i="13"/>
  <c r="D36" i="13"/>
  <c r="O36" i="13" s="1"/>
  <c r="C36" i="13"/>
  <c r="N36" i="13" s="1"/>
  <c r="B36" i="13"/>
  <c r="I35" i="13"/>
  <c r="H35" i="13"/>
  <c r="G35" i="13"/>
  <c r="D35" i="13"/>
  <c r="O35" i="13" s="1"/>
  <c r="C35" i="13"/>
  <c r="N35" i="13" s="1"/>
  <c r="B35" i="13"/>
  <c r="F35" i="13" s="1"/>
  <c r="P35" i="13" s="1"/>
  <c r="I34" i="13"/>
  <c r="H34" i="13"/>
  <c r="G34" i="13"/>
  <c r="D34" i="13"/>
  <c r="O34" i="13" s="1"/>
  <c r="C34" i="13"/>
  <c r="N34" i="13" s="1"/>
  <c r="B34" i="13"/>
  <c r="F34" i="13" s="1"/>
  <c r="P34" i="13" s="1"/>
  <c r="I33" i="13"/>
  <c r="H33" i="13"/>
  <c r="G33" i="13"/>
  <c r="D33" i="13"/>
  <c r="O33" i="13" s="1"/>
  <c r="C33" i="13"/>
  <c r="N33" i="13" s="1"/>
  <c r="B33" i="13"/>
  <c r="I32" i="13"/>
  <c r="H32" i="13"/>
  <c r="G32" i="13"/>
  <c r="D32" i="13"/>
  <c r="O32" i="13" s="1"/>
  <c r="C32" i="13"/>
  <c r="N32" i="13" s="1"/>
  <c r="B32" i="13"/>
  <c r="I31" i="13"/>
  <c r="H31" i="13"/>
  <c r="G31" i="13"/>
  <c r="D31" i="13"/>
  <c r="O31" i="13" s="1"/>
  <c r="C31" i="13"/>
  <c r="N31" i="13" s="1"/>
  <c r="B31" i="13"/>
  <c r="I30" i="13"/>
  <c r="H30" i="13"/>
  <c r="G30" i="13"/>
  <c r="D30" i="13"/>
  <c r="O30" i="13" s="1"/>
  <c r="C30" i="13"/>
  <c r="N30" i="13" s="1"/>
  <c r="B30" i="13"/>
  <c r="F30" i="13" s="1"/>
  <c r="P30" i="13" s="1"/>
  <c r="I29" i="13"/>
  <c r="H29" i="13"/>
  <c r="G29" i="13"/>
  <c r="D29" i="13"/>
  <c r="O29" i="13" s="1"/>
  <c r="C29" i="13"/>
  <c r="N29" i="13" s="1"/>
  <c r="B29" i="13"/>
  <c r="I28" i="13"/>
  <c r="H28" i="13"/>
  <c r="G28" i="13"/>
  <c r="D28" i="13"/>
  <c r="O28" i="13" s="1"/>
  <c r="C28" i="13"/>
  <c r="N28" i="13" s="1"/>
  <c r="B28" i="13"/>
  <c r="I27" i="13"/>
  <c r="H27" i="13"/>
  <c r="G27" i="13"/>
  <c r="D27" i="13"/>
  <c r="O27" i="13" s="1"/>
  <c r="C27" i="13"/>
  <c r="N27" i="13" s="1"/>
  <c r="B27" i="13"/>
  <c r="F27" i="13" s="1"/>
  <c r="P27" i="13" s="1"/>
  <c r="I26" i="13"/>
  <c r="H26" i="13"/>
  <c r="G26" i="13"/>
  <c r="D26" i="13"/>
  <c r="O26" i="13" s="1"/>
  <c r="C26" i="13"/>
  <c r="N26" i="13" s="1"/>
  <c r="B26" i="13"/>
  <c r="I25" i="13"/>
  <c r="H25" i="13"/>
  <c r="G25" i="13"/>
  <c r="D25" i="13"/>
  <c r="O25" i="13" s="1"/>
  <c r="C25" i="13"/>
  <c r="N25" i="13" s="1"/>
  <c r="B25" i="13"/>
  <c r="I24" i="13"/>
  <c r="H24" i="13"/>
  <c r="G24" i="13"/>
  <c r="D24" i="13"/>
  <c r="O24" i="13" s="1"/>
  <c r="C24" i="13"/>
  <c r="N24" i="13" s="1"/>
  <c r="B24" i="13"/>
  <c r="I23" i="13"/>
  <c r="H23" i="13"/>
  <c r="G23" i="13"/>
  <c r="D23" i="13"/>
  <c r="O23" i="13" s="1"/>
  <c r="C23" i="13"/>
  <c r="N23" i="13" s="1"/>
  <c r="B23" i="13"/>
  <c r="F23" i="13" s="1"/>
  <c r="P23" i="13" s="1"/>
  <c r="I22" i="13"/>
  <c r="H22" i="13"/>
  <c r="G22" i="13"/>
  <c r="D22" i="13"/>
  <c r="O22" i="13" s="1"/>
  <c r="C22" i="13"/>
  <c r="N22" i="13" s="1"/>
  <c r="B22" i="13"/>
  <c r="F22" i="13" s="1"/>
  <c r="P22" i="13" s="1"/>
  <c r="I21" i="13"/>
  <c r="H21" i="13"/>
  <c r="G21" i="13"/>
  <c r="D21" i="13"/>
  <c r="O21" i="13" s="1"/>
  <c r="C21" i="13"/>
  <c r="N21" i="13" s="1"/>
  <c r="B21" i="13"/>
  <c r="I20" i="13"/>
  <c r="H20" i="13"/>
  <c r="G20" i="13"/>
  <c r="D20" i="13"/>
  <c r="O20" i="13" s="1"/>
  <c r="C20" i="13"/>
  <c r="N20" i="13" s="1"/>
  <c r="B20" i="13"/>
  <c r="F20" i="13" s="1"/>
  <c r="P20" i="13" s="1"/>
  <c r="I19" i="13"/>
  <c r="H19" i="13"/>
  <c r="G19" i="13"/>
  <c r="D19" i="13"/>
  <c r="O19" i="13" s="1"/>
  <c r="C19" i="13"/>
  <c r="N19" i="13" s="1"/>
  <c r="B19" i="13"/>
  <c r="F19" i="13" s="1"/>
  <c r="P19" i="13" s="1"/>
  <c r="I18" i="13"/>
  <c r="H18" i="13"/>
  <c r="G18" i="13"/>
  <c r="D18" i="13"/>
  <c r="O18" i="13" s="1"/>
  <c r="C18" i="13"/>
  <c r="N18" i="13" s="1"/>
  <c r="B18" i="13"/>
  <c r="F18" i="13" s="1"/>
  <c r="P18" i="13" s="1"/>
  <c r="I17" i="13"/>
  <c r="H17" i="13"/>
  <c r="G17" i="13"/>
  <c r="D17" i="13"/>
  <c r="O17" i="13" s="1"/>
  <c r="C17" i="13"/>
  <c r="N17" i="13" s="1"/>
  <c r="B17" i="13"/>
  <c r="I16" i="13"/>
  <c r="H16" i="13"/>
  <c r="G16" i="13"/>
  <c r="D16" i="13"/>
  <c r="O16" i="13" s="1"/>
  <c r="C16" i="13"/>
  <c r="N16" i="13" s="1"/>
  <c r="B16" i="13"/>
  <c r="F16" i="13" s="1"/>
  <c r="P16" i="13" s="1"/>
  <c r="I15" i="13"/>
  <c r="H15" i="13"/>
  <c r="G15" i="13"/>
  <c r="D15" i="13"/>
  <c r="O15" i="13" s="1"/>
  <c r="C15" i="13"/>
  <c r="N15" i="13" s="1"/>
  <c r="B15" i="13"/>
  <c r="I14" i="13"/>
  <c r="H14" i="13"/>
  <c r="G14" i="13"/>
  <c r="D14" i="13"/>
  <c r="O14" i="13" s="1"/>
  <c r="C14" i="13"/>
  <c r="N14" i="13" s="1"/>
  <c r="B14" i="13"/>
  <c r="F14" i="13" s="1"/>
  <c r="P14" i="13" s="1"/>
  <c r="I13" i="13"/>
  <c r="H13" i="13"/>
  <c r="G13" i="13"/>
  <c r="D13" i="13"/>
  <c r="O13" i="13" s="1"/>
  <c r="C13" i="13"/>
  <c r="N13" i="13" s="1"/>
  <c r="B13" i="13"/>
  <c r="I12" i="13"/>
  <c r="H12" i="13"/>
  <c r="G12" i="13"/>
  <c r="D12" i="13"/>
  <c r="O12" i="13" s="1"/>
  <c r="C12" i="13"/>
  <c r="N12" i="13" s="1"/>
  <c r="B12" i="13"/>
  <c r="I11" i="13"/>
  <c r="H11" i="13"/>
  <c r="G11" i="13"/>
  <c r="D11" i="13"/>
  <c r="O11" i="13" s="1"/>
  <c r="C11" i="13"/>
  <c r="N11" i="13" s="1"/>
  <c r="B11" i="13"/>
  <c r="I10" i="13"/>
  <c r="H10" i="13"/>
  <c r="G10" i="13"/>
  <c r="D10" i="13"/>
  <c r="O10" i="13" s="1"/>
  <c r="C10" i="13"/>
  <c r="N10" i="13" s="1"/>
  <c r="B10" i="13"/>
  <c r="R9" i="13"/>
  <c r="I9" i="13"/>
  <c r="H9" i="13"/>
  <c r="G9" i="13"/>
  <c r="D9" i="13"/>
  <c r="O9" i="13" s="1"/>
  <c r="C9" i="13"/>
  <c r="N9" i="13" s="1"/>
  <c r="B9" i="13"/>
  <c r="A9" i="13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L8" i="13"/>
  <c r="K8" i="13"/>
  <c r="I8" i="13"/>
  <c r="H8" i="13"/>
  <c r="G8" i="13"/>
  <c r="E8" i="13"/>
  <c r="E11" i="13" s="1"/>
  <c r="D8" i="13"/>
  <c r="O8" i="13" s="1"/>
  <c r="C8" i="13"/>
  <c r="N8" i="13" s="1"/>
  <c r="B8" i="13"/>
  <c r="J5" i="13"/>
  <c r="J3" i="13"/>
  <c r="F3" i="13"/>
  <c r="J5" i="12"/>
  <c r="J3" i="12"/>
  <c r="D44" i="12"/>
  <c r="D43" i="12"/>
  <c r="D42" i="12"/>
  <c r="D41" i="12"/>
  <c r="D40" i="12"/>
  <c r="D39" i="12"/>
  <c r="D38" i="12"/>
  <c r="D37" i="12"/>
  <c r="D36" i="12"/>
  <c r="D35" i="12"/>
  <c r="D34" i="12"/>
  <c r="D33" i="12"/>
  <c r="D32" i="12"/>
  <c r="D31" i="12"/>
  <c r="D30" i="12"/>
  <c r="D29" i="12"/>
  <c r="D28" i="12"/>
  <c r="D27" i="12"/>
  <c r="D26" i="12"/>
  <c r="D25" i="12"/>
  <c r="D24" i="12"/>
  <c r="D23" i="12"/>
  <c r="D22" i="12"/>
  <c r="D21" i="12"/>
  <c r="D20" i="12"/>
  <c r="D19" i="12"/>
  <c r="D18" i="12"/>
  <c r="D17" i="12"/>
  <c r="D16" i="12"/>
  <c r="D15" i="12"/>
  <c r="D14" i="12"/>
  <c r="D13" i="12"/>
  <c r="D12" i="12"/>
  <c r="D11" i="12"/>
  <c r="D10" i="12"/>
  <c r="D9" i="12"/>
  <c r="D8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B44" i="12"/>
  <c r="B43" i="12"/>
  <c r="B42" i="12"/>
  <c r="B41" i="12"/>
  <c r="B40" i="12"/>
  <c r="B39" i="12"/>
  <c r="B38" i="12"/>
  <c r="B37" i="12"/>
  <c r="B36" i="12"/>
  <c r="B35" i="12"/>
  <c r="B34" i="12"/>
  <c r="B33" i="12"/>
  <c r="B32" i="12"/>
  <c r="B31" i="12"/>
  <c r="B30" i="12"/>
  <c r="B29" i="12"/>
  <c r="B28" i="12"/>
  <c r="B27" i="12"/>
  <c r="B26" i="12"/>
  <c r="B25" i="12"/>
  <c r="B24" i="12"/>
  <c r="B23" i="12"/>
  <c r="B22" i="12"/>
  <c r="B21" i="12"/>
  <c r="B20" i="12"/>
  <c r="B19" i="12"/>
  <c r="B18" i="12"/>
  <c r="B17" i="12"/>
  <c r="B16" i="12"/>
  <c r="B15" i="12"/>
  <c r="B14" i="12"/>
  <c r="B13" i="12"/>
  <c r="B12" i="12"/>
  <c r="B11" i="12"/>
  <c r="B10" i="12"/>
  <c r="B9" i="12"/>
  <c r="B8" i="12"/>
  <c r="A44" i="12"/>
  <c r="F3" i="12"/>
  <c r="L8" i="12"/>
  <c r="E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8" i="12"/>
  <c r="R9" i="12"/>
  <c r="R8" i="14" l="1"/>
  <c r="J9" i="14"/>
  <c r="S9" i="14" s="1"/>
  <c r="J10" i="14"/>
  <c r="S10" i="14" s="1"/>
  <c r="J11" i="14"/>
  <c r="S11" i="14" s="1"/>
  <c r="J12" i="14"/>
  <c r="S12" i="14" s="1"/>
  <c r="J13" i="14"/>
  <c r="S13" i="14" s="1"/>
  <c r="J16" i="14"/>
  <c r="S16" i="14" s="1"/>
  <c r="J17" i="14"/>
  <c r="S17" i="14" s="1"/>
  <c r="J18" i="14"/>
  <c r="S18" i="14" s="1"/>
  <c r="J19" i="14"/>
  <c r="S19" i="14" s="1"/>
  <c r="J20" i="14"/>
  <c r="S20" i="14" s="1"/>
  <c r="J21" i="14"/>
  <c r="S21" i="14" s="1"/>
  <c r="J22" i="14"/>
  <c r="S22" i="14" s="1"/>
  <c r="J23" i="14"/>
  <c r="S23" i="14" s="1"/>
  <c r="J24" i="14"/>
  <c r="S24" i="14" s="1"/>
  <c r="J25" i="14"/>
  <c r="S25" i="14" s="1"/>
  <c r="J26" i="14"/>
  <c r="S26" i="14" s="1"/>
  <c r="J27" i="14"/>
  <c r="S27" i="14" s="1"/>
  <c r="J28" i="14"/>
  <c r="S28" i="14" s="1"/>
  <c r="J29" i="14"/>
  <c r="S29" i="14" s="1"/>
  <c r="J30" i="14"/>
  <c r="S30" i="14" s="1"/>
  <c r="J31" i="14"/>
  <c r="S31" i="14" s="1"/>
  <c r="J32" i="14"/>
  <c r="S32" i="14" s="1"/>
  <c r="J33" i="14"/>
  <c r="S33" i="14" s="1"/>
  <c r="J34" i="14"/>
  <c r="S34" i="14" s="1"/>
  <c r="J35" i="14"/>
  <c r="S35" i="14" s="1"/>
  <c r="J36" i="14"/>
  <c r="S36" i="14" s="1"/>
  <c r="J37" i="14"/>
  <c r="S37" i="14" s="1"/>
  <c r="J38" i="14"/>
  <c r="S38" i="14" s="1"/>
  <c r="Q39" i="14"/>
  <c r="F9" i="14"/>
  <c r="P9" i="14" s="1"/>
  <c r="F10" i="14"/>
  <c r="P10" i="14" s="1"/>
  <c r="F12" i="14"/>
  <c r="P12" i="14" s="1"/>
  <c r="J39" i="14"/>
  <c r="S39" i="14" s="1"/>
  <c r="J8" i="14"/>
  <c r="S8" i="14" s="1"/>
  <c r="Q9" i="14"/>
  <c r="Q10" i="14"/>
  <c r="Q11" i="14"/>
  <c r="Q12" i="14"/>
  <c r="Q13" i="14"/>
  <c r="Q16" i="14"/>
  <c r="Q17" i="14"/>
  <c r="Q18" i="14"/>
  <c r="Q19" i="14"/>
  <c r="Q20" i="14"/>
  <c r="Q21" i="14"/>
  <c r="Q22" i="14"/>
  <c r="Q23" i="14"/>
  <c r="Q24" i="14"/>
  <c r="Q25" i="14"/>
  <c r="Q26" i="14"/>
  <c r="Q27" i="14"/>
  <c r="Q28" i="14"/>
  <c r="Q29" i="14"/>
  <c r="Q30" i="14"/>
  <c r="Q31" i="14"/>
  <c r="Q32" i="14"/>
  <c r="Q33" i="14"/>
  <c r="Q34" i="14"/>
  <c r="Q35" i="14"/>
  <c r="Q36" i="14"/>
  <c r="Q37" i="14"/>
  <c r="Q38" i="14"/>
  <c r="Q8" i="14"/>
  <c r="F8" i="14"/>
  <c r="P8" i="14" s="1"/>
  <c r="F13" i="14"/>
  <c r="P13" i="14" s="1"/>
  <c r="F14" i="14"/>
  <c r="P14" i="14" s="1"/>
  <c r="F15" i="14"/>
  <c r="P15" i="14" s="1"/>
  <c r="F16" i="14"/>
  <c r="P16" i="14" s="1"/>
  <c r="F17" i="14"/>
  <c r="P17" i="14" s="1"/>
  <c r="F18" i="14"/>
  <c r="P18" i="14" s="1"/>
  <c r="F19" i="14"/>
  <c r="P19" i="14" s="1"/>
  <c r="F20" i="14"/>
  <c r="P20" i="14" s="1"/>
  <c r="F21" i="14"/>
  <c r="P21" i="14" s="1"/>
  <c r="F22" i="14"/>
  <c r="P22" i="14" s="1"/>
  <c r="F23" i="14"/>
  <c r="P23" i="14" s="1"/>
  <c r="F24" i="14"/>
  <c r="P24" i="14" s="1"/>
  <c r="F25" i="14"/>
  <c r="P25" i="14" s="1"/>
  <c r="F26" i="14"/>
  <c r="P26" i="14" s="1"/>
  <c r="F28" i="14"/>
  <c r="P28" i="14" s="1"/>
  <c r="F29" i="14"/>
  <c r="P29" i="14" s="1"/>
  <c r="F30" i="14"/>
  <c r="P30" i="14" s="1"/>
  <c r="F31" i="14"/>
  <c r="P31" i="14" s="1"/>
  <c r="F32" i="14"/>
  <c r="P32" i="14" s="1"/>
  <c r="F33" i="14"/>
  <c r="P33" i="14" s="1"/>
  <c r="F34" i="14"/>
  <c r="P34" i="14" s="1"/>
  <c r="F35" i="14"/>
  <c r="P35" i="14" s="1"/>
  <c r="F36" i="14"/>
  <c r="P36" i="14" s="1"/>
  <c r="F37" i="14"/>
  <c r="P37" i="14" s="1"/>
  <c r="F38" i="14"/>
  <c r="P38" i="14" s="1"/>
  <c r="F39" i="14"/>
  <c r="P39" i="14" s="1"/>
  <c r="F11" i="14"/>
  <c r="P11" i="14" s="1"/>
  <c r="F15" i="13"/>
  <c r="P15" i="13" s="1"/>
  <c r="F11" i="13"/>
  <c r="P11" i="13" s="1"/>
  <c r="T3" i="13"/>
  <c r="J14" i="14"/>
  <c r="S14" i="14" s="1"/>
  <c r="Q14" i="14"/>
  <c r="J15" i="14"/>
  <c r="S15" i="14" s="1"/>
  <c r="Q15" i="14"/>
  <c r="J42" i="14"/>
  <c r="S42" i="14" s="1"/>
  <c r="Q42" i="14"/>
  <c r="Q43" i="14"/>
  <c r="J43" i="14"/>
  <c r="S43" i="14" s="1"/>
  <c r="F33" i="12"/>
  <c r="F32" i="12"/>
  <c r="F31" i="12"/>
  <c r="F30" i="12"/>
  <c r="F28" i="12"/>
  <c r="F27" i="12"/>
  <c r="F26" i="12"/>
  <c r="F25" i="12"/>
  <c r="F23" i="12"/>
  <c r="T3" i="12"/>
  <c r="J10" i="13"/>
  <c r="Q41" i="14"/>
  <c r="J41" i="14"/>
  <c r="S41" i="14" s="1"/>
  <c r="T43" i="14"/>
  <c r="T42" i="14"/>
  <c r="T41" i="14"/>
  <c r="T40" i="14"/>
  <c r="T39" i="14"/>
  <c r="T38" i="14"/>
  <c r="T37" i="14"/>
  <c r="T36" i="14"/>
  <c r="T35" i="14"/>
  <c r="T34" i="14"/>
  <c r="T33" i="14"/>
  <c r="T32" i="14"/>
  <c r="T31" i="14"/>
  <c r="T30" i="14"/>
  <c r="T29" i="14"/>
  <c r="T28" i="14"/>
  <c r="T27" i="14"/>
  <c r="T26" i="14"/>
  <c r="T25" i="14"/>
  <c r="T24" i="14"/>
  <c r="T23" i="14"/>
  <c r="T22" i="14"/>
  <c r="T21" i="14"/>
  <c r="T20" i="14"/>
  <c r="T19" i="14"/>
  <c r="T18" i="14"/>
  <c r="T17" i="14"/>
  <c r="T16" i="14"/>
  <c r="T15" i="14"/>
  <c r="T14" i="14"/>
  <c r="T13" i="14"/>
  <c r="T12" i="14"/>
  <c r="T11" i="14"/>
  <c r="T10" i="14"/>
  <c r="T9" i="14"/>
  <c r="T8" i="14"/>
  <c r="S47" i="14"/>
  <c r="Q47" i="14"/>
  <c r="S46" i="14"/>
  <c r="Q46" i="14"/>
  <c r="Q44" i="14"/>
  <c r="S45" i="14"/>
  <c r="Q45" i="14"/>
  <c r="F31" i="13"/>
  <c r="P31" i="13" s="1"/>
  <c r="T31" i="13" s="1"/>
  <c r="F29" i="12"/>
  <c r="F33" i="13"/>
  <c r="P33" i="13" s="1"/>
  <c r="T33" i="13" s="1"/>
  <c r="F29" i="13"/>
  <c r="P29" i="13" s="1"/>
  <c r="F43" i="13"/>
  <c r="P43" i="13" s="1"/>
  <c r="F40" i="13"/>
  <c r="P40" i="13" s="1"/>
  <c r="F36" i="13"/>
  <c r="P36" i="13" s="1"/>
  <c r="F28" i="13"/>
  <c r="P28" i="13" s="1"/>
  <c r="F13" i="13"/>
  <c r="P13" i="13" s="1"/>
  <c r="Q39" i="13"/>
  <c r="J31" i="13"/>
  <c r="S31" i="13" s="1"/>
  <c r="Q26" i="13"/>
  <c r="F26" i="13"/>
  <c r="P26" i="13" s="1"/>
  <c r="J24" i="13"/>
  <c r="S24" i="13" s="1"/>
  <c r="Q21" i="13"/>
  <c r="S10" i="13"/>
  <c r="S38" i="13"/>
  <c r="Q31" i="13"/>
  <c r="F9" i="13"/>
  <c r="P9" i="13" s="1"/>
  <c r="Q38" i="13"/>
  <c r="Q34" i="13"/>
  <c r="Q33" i="13"/>
  <c r="Q32" i="13"/>
  <c r="Q25" i="13"/>
  <c r="Q12" i="13"/>
  <c r="Q27" i="13"/>
  <c r="F25" i="13"/>
  <c r="P25" i="13" s="1"/>
  <c r="Q24" i="13"/>
  <c r="Q13" i="13"/>
  <c r="F21" i="13"/>
  <c r="P21" i="13" s="1"/>
  <c r="Q20" i="13"/>
  <c r="Q19" i="13"/>
  <c r="Q18" i="13"/>
  <c r="Q17" i="13"/>
  <c r="Q15" i="13"/>
  <c r="F12" i="13"/>
  <c r="P12" i="13" s="1"/>
  <c r="Q11" i="13"/>
  <c r="Q10" i="13"/>
  <c r="S44" i="13"/>
  <c r="F44" i="13"/>
  <c r="P44" i="13" s="1"/>
  <c r="J43" i="13"/>
  <c r="S43" i="13" s="1"/>
  <c r="Q43" i="13"/>
  <c r="J42" i="13"/>
  <c r="S42" i="13" s="1"/>
  <c r="Q42" i="13"/>
  <c r="F42" i="13"/>
  <c r="P42" i="13" s="1"/>
  <c r="J41" i="13"/>
  <c r="S41" i="13" s="1"/>
  <c r="J40" i="13"/>
  <c r="S40" i="13" s="1"/>
  <c r="Q40" i="13"/>
  <c r="F38" i="13"/>
  <c r="P38" i="13" s="1"/>
  <c r="J37" i="13"/>
  <c r="S37" i="13" s="1"/>
  <c r="Q37" i="13"/>
  <c r="F37" i="13"/>
  <c r="P37" i="13" s="1"/>
  <c r="J36" i="13"/>
  <c r="S36" i="13" s="1"/>
  <c r="Q36" i="13"/>
  <c r="J35" i="13"/>
  <c r="S35" i="13" s="1"/>
  <c r="Q35" i="13"/>
  <c r="J34" i="13"/>
  <c r="S34" i="13" s="1"/>
  <c r="J33" i="13"/>
  <c r="S33" i="13" s="1"/>
  <c r="J32" i="13"/>
  <c r="S32" i="13" s="1"/>
  <c r="J17" i="13"/>
  <c r="S17" i="13" s="1"/>
  <c r="J30" i="13"/>
  <c r="S30" i="13" s="1"/>
  <c r="T30" i="13" s="1"/>
  <c r="Q30" i="13"/>
  <c r="J29" i="13"/>
  <c r="S29" i="13" s="1"/>
  <c r="Q29" i="13"/>
  <c r="J28" i="13"/>
  <c r="S28" i="13" s="1"/>
  <c r="Q28" i="13"/>
  <c r="J27" i="13"/>
  <c r="S27" i="13" s="1"/>
  <c r="J26" i="13"/>
  <c r="S26" i="13" s="1"/>
  <c r="J25" i="13"/>
  <c r="S25" i="13" s="1"/>
  <c r="J18" i="13"/>
  <c r="S18" i="13" s="1"/>
  <c r="F24" i="13"/>
  <c r="P24" i="13" s="1"/>
  <c r="J23" i="13"/>
  <c r="S23" i="13" s="1"/>
  <c r="Q23" i="13"/>
  <c r="J22" i="13"/>
  <c r="S22" i="13" s="1"/>
  <c r="Q22" i="13"/>
  <c r="J21" i="13"/>
  <c r="S21" i="13" s="1"/>
  <c r="J20" i="13"/>
  <c r="S20" i="13" s="1"/>
  <c r="J19" i="13"/>
  <c r="S19" i="13" s="1"/>
  <c r="F17" i="13"/>
  <c r="P17" i="13" s="1"/>
  <c r="J16" i="13"/>
  <c r="S16" i="13" s="1"/>
  <c r="Q16" i="13"/>
  <c r="J15" i="13"/>
  <c r="S15" i="13" s="1"/>
  <c r="J14" i="13"/>
  <c r="S14" i="13" s="1"/>
  <c r="Q14" i="13"/>
  <c r="J13" i="13"/>
  <c r="S13" i="13" s="1"/>
  <c r="J12" i="13"/>
  <c r="S12" i="13" s="1"/>
  <c r="J11" i="13"/>
  <c r="S11" i="13" s="1"/>
  <c r="F10" i="13"/>
  <c r="P10" i="13" s="1"/>
  <c r="J9" i="13"/>
  <c r="S9" i="13" s="1"/>
  <c r="Q9" i="13"/>
  <c r="R8" i="13"/>
  <c r="J8" i="13"/>
  <c r="S8" i="13" s="1"/>
  <c r="Q8" i="13"/>
  <c r="F8" i="13"/>
  <c r="P8" i="13" s="1"/>
  <c r="F22" i="12"/>
  <c r="F21" i="12"/>
  <c r="F20" i="12"/>
  <c r="F19" i="12"/>
  <c r="F18" i="12"/>
  <c r="F17" i="12"/>
  <c r="F16" i="12"/>
  <c r="F15" i="12"/>
  <c r="F14" i="12"/>
  <c r="F13" i="12"/>
  <c r="F12" i="12"/>
  <c r="F10" i="12"/>
  <c r="F9" i="12"/>
  <c r="F8" i="12"/>
  <c r="J39" i="13"/>
  <c r="S39" i="13" s="1"/>
  <c r="F39" i="13"/>
  <c r="P39" i="13" s="1"/>
  <c r="T39" i="13" s="1"/>
  <c r="F32" i="13"/>
  <c r="P32" i="13" s="1"/>
  <c r="T43" i="13"/>
  <c r="T42" i="13"/>
  <c r="T40" i="13"/>
  <c r="T37" i="13"/>
  <c r="T35" i="13"/>
  <c r="T34" i="13"/>
  <c r="T32" i="13"/>
  <c r="T29" i="13"/>
  <c r="T27" i="13"/>
  <c r="T26" i="13"/>
  <c r="T25" i="13"/>
  <c r="T24" i="13"/>
  <c r="T23" i="13"/>
  <c r="T22" i="13"/>
  <c r="T21" i="13"/>
  <c r="T20" i="13"/>
  <c r="T19" i="13"/>
  <c r="T18" i="13"/>
  <c r="T17" i="13"/>
  <c r="T16" i="13"/>
  <c r="T15" i="13"/>
  <c r="T14" i="13"/>
  <c r="T12" i="13"/>
  <c r="T11" i="13"/>
  <c r="T10" i="13"/>
  <c r="T9" i="13"/>
  <c r="T8" i="13"/>
  <c r="Q46" i="13"/>
  <c r="S45" i="13"/>
  <c r="Q47" i="13"/>
  <c r="S46" i="13"/>
  <c r="Q41" i="13"/>
  <c r="Q44" i="13"/>
  <c r="T44" i="13" s="1"/>
  <c r="Q45" i="13"/>
  <c r="S47" i="13"/>
  <c r="F34" i="12"/>
  <c r="F44" i="12"/>
  <c r="F42" i="12"/>
  <c r="F39" i="12"/>
  <c r="F37" i="12"/>
  <c r="F35" i="12"/>
  <c r="F43" i="12"/>
  <c r="F41" i="12"/>
  <c r="F38" i="12"/>
  <c r="F36" i="12"/>
  <c r="F40" i="12"/>
  <c r="F24" i="12"/>
  <c r="S8" i="12"/>
  <c r="Q8" i="12"/>
  <c r="R8" i="12"/>
  <c r="E11" i="12"/>
  <c r="F11" i="12" s="1"/>
  <c r="S47" i="12"/>
  <c r="Q47" i="12"/>
  <c r="P47" i="12"/>
  <c r="O47" i="12"/>
  <c r="N47" i="12"/>
  <c r="S46" i="12"/>
  <c r="Q46" i="12"/>
  <c r="O46" i="12"/>
  <c r="N46" i="12"/>
  <c r="S45" i="12"/>
  <c r="Q45" i="12"/>
  <c r="P45" i="12"/>
  <c r="O45" i="12"/>
  <c r="N45" i="12"/>
  <c r="T44" i="14" l="1"/>
  <c r="S3" i="14"/>
  <c r="T38" i="13"/>
  <c r="T13" i="13"/>
  <c r="T28" i="13"/>
  <c r="T36" i="13"/>
  <c r="S3" i="13"/>
  <c r="T41" i="13"/>
  <c r="P13" i="12"/>
  <c r="P16" i="12"/>
  <c r="V32" i="14" l="1"/>
  <c r="V33" i="14"/>
  <c r="V34" i="14"/>
  <c r="W36" i="14"/>
  <c r="V37" i="14"/>
  <c r="Z38" i="14"/>
  <c r="W40" i="14"/>
  <c r="Z41" i="14"/>
  <c r="X42" i="14"/>
  <c r="X43" i="14"/>
  <c r="U47" i="14"/>
  <c r="W14" i="14"/>
  <c r="Z19" i="14"/>
  <c r="X21" i="14"/>
  <c r="X25" i="14"/>
  <c r="X26" i="14"/>
  <c r="V28" i="14"/>
  <c r="Z31" i="14"/>
  <c r="W34" i="14"/>
  <c r="Z37" i="14"/>
  <c r="V39" i="14"/>
  <c r="V42" i="14"/>
  <c r="Z10" i="14"/>
  <c r="Z14" i="14"/>
  <c r="X15" i="14"/>
  <c r="X17" i="14"/>
  <c r="V18" i="14"/>
  <c r="V20" i="14"/>
  <c r="W21" i="14"/>
  <c r="W25" i="14"/>
  <c r="X28" i="14"/>
  <c r="X29" i="14"/>
  <c r="V31" i="14"/>
  <c r="Z34" i="14"/>
  <c r="Z36" i="14"/>
  <c r="X38" i="14"/>
  <c r="V40" i="14"/>
  <c r="V41" i="14"/>
  <c r="V44" i="14"/>
  <c r="U45" i="14"/>
  <c r="W45" i="14"/>
  <c r="W46" i="14"/>
  <c r="W47" i="14"/>
  <c r="X12" i="14"/>
  <c r="Z28" i="14"/>
  <c r="W43" i="14"/>
  <c r="Z35" i="14"/>
  <c r="V11" i="14"/>
  <c r="W24" i="14"/>
  <c r="Z11" i="14"/>
  <c r="W13" i="14"/>
  <c r="X14" i="14"/>
  <c r="X16" i="14"/>
  <c r="V17" i="14"/>
  <c r="V19" i="14"/>
  <c r="X20" i="14"/>
  <c r="W22" i="14"/>
  <c r="X24" i="14"/>
  <c r="W26" i="14"/>
  <c r="W28" i="14"/>
  <c r="W31" i="14"/>
  <c r="Z33" i="14"/>
  <c r="V35" i="14"/>
  <c r="V38" i="14"/>
  <c r="X40" i="14"/>
  <c r="Z42" i="14"/>
  <c r="V43" i="14"/>
  <c r="Z44" i="14"/>
  <c r="U46" i="14"/>
  <c r="V47" i="14"/>
  <c r="W12" i="14"/>
  <c r="Y18" i="14"/>
  <c r="Y25" i="14"/>
  <c r="Y20" i="14"/>
  <c r="Y28" i="14"/>
  <c r="Y22" i="14"/>
  <c r="X47" i="14"/>
  <c r="U24" i="14"/>
  <c r="U14" i="14"/>
  <c r="U41" i="14"/>
  <c r="U36" i="14"/>
  <c r="U32" i="14"/>
  <c r="U29" i="14"/>
  <c r="U22" i="14"/>
  <c r="V14" i="14"/>
  <c r="W19" i="14"/>
  <c r="W17" i="14"/>
  <c r="X18" i="14"/>
  <c r="X22" i="14"/>
  <c r="X23" i="14"/>
  <c r="Z27" i="14"/>
  <c r="Z29" i="14"/>
  <c r="W32" i="14"/>
  <c r="X34" i="14"/>
  <c r="V36" i="14"/>
  <c r="AA36" i="14" s="1"/>
  <c r="AC36" i="14" s="1"/>
  <c r="W38" i="14"/>
  <c r="X39" i="14"/>
  <c r="X41" i="14"/>
  <c r="W44" i="14"/>
  <c r="X10" i="14"/>
  <c r="X13" i="14"/>
  <c r="Z15" i="14"/>
  <c r="Z20" i="14"/>
  <c r="V22" i="14"/>
  <c r="V24" i="14"/>
  <c r="V26" i="14"/>
  <c r="W16" i="14"/>
  <c r="Z18" i="14"/>
  <c r="V21" i="14"/>
  <c r="Z23" i="14"/>
  <c r="V25" i="14"/>
  <c r="Z30" i="14"/>
  <c r="Z32" i="14"/>
  <c r="W35" i="14"/>
  <c r="X36" i="14"/>
  <c r="W42" i="14"/>
  <c r="V45" i="14"/>
  <c r="Z12" i="14"/>
  <c r="V15" i="14"/>
  <c r="Z16" i="14"/>
  <c r="Z17" i="14"/>
  <c r="V30" i="14"/>
  <c r="W11" i="14"/>
  <c r="W18" i="14"/>
  <c r="Z21" i="14"/>
  <c r="Y12" i="14"/>
  <c r="Y15" i="14"/>
  <c r="Y17" i="14"/>
  <c r="Y46" i="14"/>
  <c r="Y21" i="14"/>
  <c r="Y19" i="14"/>
  <c r="Y36" i="14"/>
  <c r="Y39" i="14"/>
  <c r="Y43" i="14"/>
  <c r="Y42" i="14"/>
  <c r="X44" i="14"/>
  <c r="U17" i="14"/>
  <c r="U13" i="14"/>
  <c r="U43" i="14"/>
  <c r="U40" i="14"/>
  <c r="U30" i="14"/>
  <c r="U20" i="14"/>
  <c r="U11" i="14"/>
  <c r="V13" i="14"/>
  <c r="V29" i="14"/>
  <c r="X37" i="14"/>
  <c r="V46" i="14"/>
  <c r="Z13" i="14"/>
  <c r="V27" i="14"/>
  <c r="Z39" i="14"/>
  <c r="Z25" i="14"/>
  <c r="V16" i="14"/>
  <c r="X19" i="14"/>
  <c r="Y10" i="14"/>
  <c r="Y13" i="14"/>
  <c r="Y16" i="14"/>
  <c r="Y44" i="14"/>
  <c r="Y27" i="14"/>
  <c r="Y33" i="14"/>
  <c r="Y30" i="14"/>
  <c r="Y23" i="14"/>
  <c r="Y32" i="14"/>
  <c r="Y41" i="14"/>
  <c r="Y37" i="14"/>
  <c r="X45" i="14"/>
  <c r="U19" i="14"/>
  <c r="U16" i="14"/>
  <c r="U15" i="14"/>
  <c r="U44" i="14"/>
  <c r="U37" i="14"/>
  <c r="U34" i="14"/>
  <c r="U31" i="14"/>
  <c r="U28" i="14"/>
  <c r="Z22" i="14"/>
  <c r="U3" i="14"/>
  <c r="W8" i="14"/>
  <c r="V8" i="14"/>
  <c r="X8" i="14"/>
  <c r="Z8" i="14"/>
  <c r="Y8" i="14"/>
  <c r="W9" i="14"/>
  <c r="V9" i="14"/>
  <c r="X9" i="14"/>
  <c r="Z9" i="14"/>
  <c r="Y9" i="14"/>
  <c r="W10" i="14"/>
  <c r="V10" i="14"/>
  <c r="X11" i="14"/>
  <c r="V12" i="14"/>
  <c r="W20" i="14"/>
  <c r="V23" i="14"/>
  <c r="Z24" i="14"/>
  <c r="Z26" i="14"/>
  <c r="X27" i="14"/>
  <c r="W29" i="14"/>
  <c r="X30" i="14"/>
  <c r="X31" i="14"/>
  <c r="X32" i="14"/>
  <c r="X33" i="14"/>
  <c r="X35" i="14"/>
  <c r="W37" i="14"/>
  <c r="AA37" i="14" s="1"/>
  <c r="AC37" i="14" s="1"/>
  <c r="W39" i="14"/>
  <c r="W41" i="14"/>
  <c r="Z43" i="14"/>
  <c r="Y11" i="14"/>
  <c r="Y14" i="14"/>
  <c r="Y31" i="14"/>
  <c r="Y47" i="14"/>
  <c r="Y38" i="14"/>
  <c r="Y26" i="14"/>
  <c r="Y40" i="14"/>
  <c r="Y24" i="14"/>
  <c r="X46" i="14"/>
  <c r="U25" i="14"/>
  <c r="U18" i="14"/>
  <c r="U10" i="14"/>
  <c r="U42" i="14"/>
  <c r="U39" i="14"/>
  <c r="U35" i="14"/>
  <c r="U21" i="14"/>
  <c r="W33" i="14"/>
  <c r="W15" i="14"/>
  <c r="W30" i="14"/>
  <c r="Y29" i="14"/>
  <c r="Y35" i="14"/>
  <c r="Y45" i="14"/>
  <c r="Y34" i="14"/>
  <c r="Z47" i="14"/>
  <c r="Z46" i="14"/>
  <c r="Z45" i="14"/>
  <c r="U27" i="14"/>
  <c r="U23" i="14"/>
  <c r="U8" i="14"/>
  <c r="U9" i="14"/>
  <c r="U38" i="14"/>
  <c r="U33" i="14"/>
  <c r="U26" i="14"/>
  <c r="U12" i="14"/>
  <c r="W27" i="14"/>
  <c r="Z40" i="14"/>
  <c r="W23" i="14"/>
  <c r="AA16" i="14"/>
  <c r="AC16" i="14" s="1"/>
  <c r="AA42" i="14"/>
  <c r="AC42" i="14" s="1"/>
  <c r="AA34" i="14"/>
  <c r="AC34" i="14" s="1"/>
  <c r="AA33" i="14"/>
  <c r="AC33" i="14" s="1"/>
  <c r="AA32" i="14"/>
  <c r="AC32" i="14" s="1"/>
  <c r="AA31" i="14"/>
  <c r="AC31" i="14" s="1"/>
  <c r="AA30" i="14"/>
  <c r="AC30" i="14" s="1"/>
  <c r="AA29" i="14"/>
  <c r="AC29" i="14" s="1"/>
  <c r="AA28" i="14"/>
  <c r="AC28" i="14" s="1"/>
  <c r="AA26" i="14"/>
  <c r="AC26" i="14" s="1"/>
  <c r="AA22" i="14"/>
  <c r="AC22" i="14" s="1"/>
  <c r="X36" i="13"/>
  <c r="W36" i="13"/>
  <c r="W35" i="13"/>
  <c r="X37" i="13"/>
  <c r="X43" i="13"/>
  <c r="Z21" i="13"/>
  <c r="X22" i="13"/>
  <c r="Z24" i="13"/>
  <c r="W27" i="13"/>
  <c r="Z28" i="13"/>
  <c r="X30" i="13"/>
  <c r="V37" i="13"/>
  <c r="W24" i="13"/>
  <c r="X42" i="13"/>
  <c r="V43" i="13"/>
  <c r="W31" i="13"/>
  <c r="V38" i="13"/>
  <c r="Z43" i="13"/>
  <c r="U45" i="13"/>
  <c r="U46" i="13"/>
  <c r="U47" i="13"/>
  <c r="W8" i="13"/>
  <c r="Y8" i="13"/>
  <c r="X28" i="13"/>
  <c r="X29" i="13"/>
  <c r="X15" i="13"/>
  <c r="V28" i="13"/>
  <c r="W30" i="13"/>
  <c r="Z31" i="13"/>
  <c r="Z32" i="13"/>
  <c r="Z33" i="13"/>
  <c r="Z34" i="13"/>
  <c r="V35" i="13"/>
  <c r="Z36" i="13"/>
  <c r="V36" i="13"/>
  <c r="Z37" i="13"/>
  <c r="X38" i="13"/>
  <c r="V39" i="13"/>
  <c r="Z39" i="13"/>
  <c r="Z40" i="13"/>
  <c r="W42" i="13"/>
  <c r="Z27" i="13"/>
  <c r="W34" i="13"/>
  <c r="X35" i="13"/>
  <c r="W40" i="13"/>
  <c r="Z41" i="13"/>
  <c r="V44" i="13"/>
  <c r="W45" i="13"/>
  <c r="W46" i="13"/>
  <c r="Z8" i="13"/>
  <c r="W9" i="13"/>
  <c r="V30" i="13"/>
  <c r="V31" i="13"/>
  <c r="V16" i="13"/>
  <c r="W47" i="13"/>
  <c r="X24" i="13"/>
  <c r="V29" i="13"/>
  <c r="W37" i="13"/>
  <c r="X40" i="13"/>
  <c r="W43" i="13"/>
  <c r="Z44" i="13"/>
  <c r="V45" i="13"/>
  <c r="V46" i="13"/>
  <c r="V47" i="13"/>
  <c r="V8" i="13"/>
  <c r="V9" i="13"/>
  <c r="X34" i="13"/>
  <c r="W16" i="13"/>
  <c r="X8" i="13"/>
  <c r="W33" i="13"/>
  <c r="X32" i="13"/>
  <c r="X16" i="13"/>
  <c r="Z16" i="13"/>
  <c r="W17" i="13"/>
  <c r="V17" i="13"/>
  <c r="X17" i="13"/>
  <c r="Z17" i="13"/>
  <c r="W18" i="13"/>
  <c r="V18" i="13"/>
  <c r="X18" i="13"/>
  <c r="Z18" i="13"/>
  <c r="W38" i="13"/>
  <c r="W39" i="13"/>
  <c r="X39" i="13"/>
  <c r="W41" i="13"/>
  <c r="V41" i="13"/>
  <c r="V42" i="13"/>
  <c r="Z42" i="13"/>
  <c r="W44" i="13"/>
  <c r="V15" i="13"/>
  <c r="Z15" i="13"/>
  <c r="V24" i="13"/>
  <c r="W26" i="13"/>
  <c r="W28" i="13"/>
  <c r="W19" i="13"/>
  <c r="V19" i="13"/>
  <c r="X19" i="13"/>
  <c r="Z19" i="13"/>
  <c r="W20" i="13"/>
  <c r="V20" i="13"/>
  <c r="X20" i="13"/>
  <c r="Z20" i="13"/>
  <c r="W21" i="13"/>
  <c r="V21" i="13"/>
  <c r="X21" i="13"/>
  <c r="W23" i="13"/>
  <c r="W25" i="13"/>
  <c r="X26" i="13"/>
  <c r="X31" i="13"/>
  <c r="Y10" i="13"/>
  <c r="Y11" i="13"/>
  <c r="Y12" i="13"/>
  <c r="Y13" i="13"/>
  <c r="Y15" i="13"/>
  <c r="Y16" i="13"/>
  <c r="Y17" i="13"/>
  <c r="Y18" i="13"/>
  <c r="Y19" i="13"/>
  <c r="Y20" i="13"/>
  <c r="Y21" i="13"/>
  <c r="Y22" i="13"/>
  <c r="Y23" i="13"/>
  <c r="Y24" i="13"/>
  <c r="U14" i="13"/>
  <c r="U21" i="13"/>
  <c r="U26" i="13"/>
  <c r="U29" i="13"/>
  <c r="Y25" i="13"/>
  <c r="Y26" i="13"/>
  <c r="Y27" i="13"/>
  <c r="Y46" i="13"/>
  <c r="Y36" i="13"/>
  <c r="Y39" i="13"/>
  <c r="Y41" i="13"/>
  <c r="Y42" i="13"/>
  <c r="Y43" i="13"/>
  <c r="Y31" i="13"/>
  <c r="Y44" i="13"/>
  <c r="Y47" i="13"/>
  <c r="X46" i="13"/>
  <c r="Z45" i="13"/>
  <c r="X41" i="13"/>
  <c r="Z47" i="13"/>
  <c r="U8" i="13"/>
  <c r="U9" i="13"/>
  <c r="U10" i="13"/>
  <c r="U11" i="13"/>
  <c r="U12" i="13"/>
  <c r="U13" i="13"/>
  <c r="U15" i="13"/>
  <c r="U24" i="13"/>
  <c r="U30" i="13"/>
  <c r="U37" i="13"/>
  <c r="U41" i="13"/>
  <c r="U42" i="13"/>
  <c r="U43" i="13"/>
  <c r="U16" i="13"/>
  <c r="U17" i="13"/>
  <c r="U18" i="13"/>
  <c r="U19" i="13"/>
  <c r="U20" i="13"/>
  <c r="U22" i="13"/>
  <c r="U25" i="13"/>
  <c r="U23" i="13"/>
  <c r="U27" i="13"/>
  <c r="U28" i="13"/>
  <c r="U32" i="13"/>
  <c r="U33" i="13"/>
  <c r="U34" i="13"/>
  <c r="U35" i="13"/>
  <c r="U36" i="13"/>
  <c r="U38" i="13"/>
  <c r="U39" i="13"/>
  <c r="U40" i="13"/>
  <c r="U44" i="13"/>
  <c r="X45" i="13"/>
  <c r="Z46" i="13"/>
  <c r="U31" i="13"/>
  <c r="Z22" i="13"/>
  <c r="X25" i="13"/>
  <c r="V27" i="13"/>
  <c r="W29" i="13"/>
  <c r="Z30" i="13"/>
  <c r="W32" i="13"/>
  <c r="X33" i="13"/>
  <c r="W22" i="13"/>
  <c r="U3" i="13"/>
  <c r="Y9" i="13"/>
  <c r="W10" i="13"/>
  <c r="Z10" i="13"/>
  <c r="V10" i="13"/>
  <c r="X10" i="13"/>
  <c r="W11" i="13"/>
  <c r="V11" i="13"/>
  <c r="X11" i="13"/>
  <c r="Z11" i="13"/>
  <c r="W12" i="13"/>
  <c r="V12" i="13"/>
  <c r="X12" i="13"/>
  <c r="Z12" i="13"/>
  <c r="W13" i="13"/>
  <c r="V13" i="13"/>
  <c r="X13" i="13"/>
  <c r="Z13" i="13"/>
  <c r="W14" i="13"/>
  <c r="V14" i="13"/>
  <c r="X14" i="13"/>
  <c r="Z14" i="13"/>
  <c r="W15" i="13"/>
  <c r="Y14" i="13"/>
  <c r="Z25" i="13"/>
  <c r="Z29" i="13"/>
  <c r="V32" i="13"/>
  <c r="V33" i="13"/>
  <c r="V34" i="13"/>
  <c r="Z35" i="13"/>
  <c r="Z38" i="13"/>
  <c r="V40" i="13"/>
  <c r="V22" i="13"/>
  <c r="V23" i="13"/>
  <c r="V25" i="13"/>
  <c r="V26" i="13"/>
  <c r="X27" i="13"/>
  <c r="X23" i="13"/>
  <c r="X9" i="13"/>
  <c r="Z9" i="13"/>
  <c r="Z23" i="13"/>
  <c r="Z26" i="13"/>
  <c r="Y28" i="13"/>
  <c r="Y29" i="13"/>
  <c r="Y30" i="13"/>
  <c r="Y32" i="13"/>
  <c r="Y33" i="13"/>
  <c r="Y34" i="13"/>
  <c r="Y35" i="13"/>
  <c r="Y37" i="13"/>
  <c r="Y38" i="13"/>
  <c r="Y40" i="13"/>
  <c r="Y45" i="13"/>
  <c r="X44" i="13"/>
  <c r="X47" i="13"/>
  <c r="A9" i="12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A15" i="14" l="1"/>
  <c r="AC15" i="14" s="1"/>
  <c r="AA20" i="14"/>
  <c r="AC20" i="14" s="1"/>
  <c r="AA38" i="14"/>
  <c r="AC38" i="14" s="1"/>
  <c r="AA41" i="14"/>
  <c r="AC41" i="14" s="1"/>
  <c r="AA44" i="14"/>
  <c r="AC44" i="14" s="1"/>
  <c r="AA45" i="14"/>
  <c r="AC45" i="14" s="1"/>
  <c r="AA47" i="14"/>
  <c r="AC47" i="14" s="1"/>
  <c r="AA12" i="14"/>
  <c r="AC12" i="14" s="1"/>
  <c r="AA43" i="14"/>
  <c r="AC43" i="14" s="1"/>
  <c r="AA35" i="14"/>
  <c r="AC35" i="14" s="1"/>
  <c r="AA11" i="14"/>
  <c r="AC11" i="14" s="1"/>
  <c r="AA13" i="14"/>
  <c r="AC13" i="14" s="1"/>
  <c r="AA24" i="14"/>
  <c r="AC24" i="14" s="1"/>
  <c r="AA17" i="14"/>
  <c r="AC17" i="14" s="1"/>
  <c r="AA23" i="14"/>
  <c r="AC23" i="14" s="1"/>
  <c r="AA39" i="14"/>
  <c r="AC39" i="14" s="1"/>
  <c r="AA27" i="14"/>
  <c r="AC27" i="14" s="1"/>
  <c r="AA21" i="13"/>
  <c r="AC21" i="13" s="1"/>
  <c r="AA19" i="13"/>
  <c r="AC19" i="13" s="1"/>
  <c r="AA20" i="13"/>
  <c r="AC20" i="13" s="1"/>
  <c r="AA36" i="13"/>
  <c r="AC36" i="13" s="1"/>
  <c r="AA39" i="13"/>
  <c r="AC39" i="13" s="1"/>
  <c r="AA18" i="14"/>
  <c r="AC18" i="14" s="1"/>
  <c r="AA21" i="14"/>
  <c r="AC21" i="14" s="1"/>
  <c r="AA25" i="14"/>
  <c r="AC25" i="14" s="1"/>
  <c r="AA40" i="14"/>
  <c r="AC40" i="14" s="1"/>
  <c r="AA46" i="14"/>
  <c r="AC46" i="14" s="1"/>
  <c r="AA14" i="14"/>
  <c r="AC14" i="14" s="1"/>
  <c r="AA19" i="14"/>
  <c r="AC19" i="14" s="1"/>
  <c r="AA10" i="14"/>
  <c r="AC10" i="14" s="1"/>
  <c r="AA8" i="14"/>
  <c r="AC8" i="14" s="1"/>
  <c r="AA9" i="14"/>
  <c r="AC9" i="14" s="1"/>
  <c r="AA24" i="13"/>
  <c r="AC24" i="13" s="1"/>
  <c r="AA43" i="13"/>
  <c r="AC43" i="13" s="1"/>
  <c r="AA16" i="13"/>
  <c r="AC16" i="13" s="1"/>
  <c r="AA17" i="13"/>
  <c r="AC17" i="13" s="1"/>
  <c r="AA18" i="13"/>
  <c r="AC18" i="13" s="1"/>
  <c r="AA31" i="13"/>
  <c r="AC31" i="13" s="1"/>
  <c r="AA8" i="13"/>
  <c r="AC8" i="13" s="1"/>
  <c r="AA41" i="13"/>
  <c r="AC41" i="13" s="1"/>
  <c r="AA15" i="13"/>
  <c r="AC15" i="13" s="1"/>
  <c r="AA25" i="13"/>
  <c r="AC25" i="13" s="1"/>
  <c r="AA27" i="13"/>
  <c r="AC27" i="13" s="1"/>
  <c r="AA9" i="13"/>
  <c r="AC9" i="13" s="1"/>
  <c r="AA12" i="13"/>
  <c r="AC12" i="13" s="1"/>
  <c r="AA13" i="13"/>
  <c r="AC13" i="13" s="1"/>
  <c r="AA46" i="13"/>
  <c r="AC46" i="13" s="1"/>
  <c r="AA10" i="13"/>
  <c r="AC10" i="13" s="1"/>
  <c r="AA28" i="13"/>
  <c r="AC28" i="13" s="1"/>
  <c r="AA29" i="13"/>
  <c r="AC29" i="13" s="1"/>
  <c r="AA30" i="13"/>
  <c r="AC30" i="13" s="1"/>
  <c r="AA35" i="13"/>
  <c r="AC35" i="13" s="1"/>
  <c r="AA37" i="13"/>
  <c r="AC37" i="13" s="1"/>
  <c r="AA38" i="13"/>
  <c r="AC38" i="13" s="1"/>
  <c r="AA40" i="13"/>
  <c r="AC40" i="13" s="1"/>
  <c r="AA45" i="13"/>
  <c r="AC45" i="13" s="1"/>
  <c r="AA44" i="13"/>
  <c r="AC44" i="13" s="1"/>
  <c r="AA47" i="13"/>
  <c r="AC47" i="13" s="1"/>
  <c r="AA11" i="13"/>
  <c r="AC11" i="13" s="1"/>
  <c r="AA42" i="13"/>
  <c r="AC42" i="13" s="1"/>
  <c r="AA14" i="13"/>
  <c r="AC14" i="13" s="1"/>
  <c r="AA32" i="13"/>
  <c r="AC32" i="13" s="1"/>
  <c r="AA33" i="13"/>
  <c r="AC33" i="13" s="1"/>
  <c r="AA34" i="13"/>
  <c r="AC34" i="13" s="1"/>
  <c r="AA22" i="13"/>
  <c r="AC22" i="13" s="1"/>
  <c r="AA23" i="13"/>
  <c r="AC23" i="13" s="1"/>
  <c r="AA26" i="13"/>
  <c r="AC26" i="13" s="1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S42" i="12"/>
  <c r="S43" i="12"/>
  <c r="S44" i="12"/>
  <c r="Q9" i="12"/>
  <c r="Q10" i="12"/>
  <c r="Q11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Q24" i="12"/>
  <c r="Q25" i="12"/>
  <c r="Q26" i="12"/>
  <c r="Q27" i="12"/>
  <c r="Q28" i="12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Q42" i="12"/>
  <c r="Q43" i="12"/>
  <c r="Q44" i="12"/>
  <c r="P10" i="12"/>
  <c r="P11" i="12"/>
  <c r="P12" i="12"/>
  <c r="P14" i="12"/>
  <c r="P15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8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33" i="12"/>
  <c r="N34" i="12"/>
  <c r="N35" i="12"/>
  <c r="N36" i="12"/>
  <c r="N37" i="12"/>
  <c r="N38" i="12"/>
  <c r="N39" i="12"/>
  <c r="N40" i="12"/>
  <c r="N41" i="12"/>
  <c r="N42" i="12"/>
  <c r="N43" i="12"/>
  <c r="N44" i="12"/>
  <c r="N8" i="12"/>
  <c r="T44" i="12" l="1"/>
  <c r="T43" i="12"/>
  <c r="T42" i="12"/>
  <c r="T41" i="12"/>
  <c r="T40" i="12"/>
  <c r="T39" i="12"/>
  <c r="T38" i="12"/>
  <c r="T37" i="12"/>
  <c r="T36" i="12"/>
  <c r="T35" i="12"/>
  <c r="T34" i="12"/>
  <c r="T33" i="12"/>
  <c r="T32" i="12"/>
  <c r="T31" i="12"/>
  <c r="T30" i="12"/>
  <c r="T29" i="12"/>
  <c r="T28" i="12"/>
  <c r="T27" i="12"/>
  <c r="T26" i="12"/>
  <c r="T25" i="12"/>
  <c r="T24" i="12"/>
  <c r="T23" i="12"/>
  <c r="T22" i="12"/>
  <c r="T21" i="12"/>
  <c r="T20" i="12"/>
  <c r="T19" i="12"/>
  <c r="T18" i="12"/>
  <c r="T17" i="12"/>
  <c r="T16" i="12"/>
  <c r="T15" i="12"/>
  <c r="T14" i="12"/>
  <c r="T13" i="12"/>
  <c r="T12" i="12"/>
  <c r="T11" i="12"/>
  <c r="T10" i="12"/>
  <c r="T8" i="12"/>
  <c r="P46" i="12" l="1"/>
  <c r="P9" i="12"/>
  <c r="S3" i="12" s="1"/>
  <c r="Y22" i="12" l="1"/>
  <c r="Y28" i="12"/>
  <c r="Y31" i="12"/>
  <c r="Y34" i="12"/>
  <c r="Y47" i="12"/>
  <c r="Y37" i="12"/>
  <c r="Y30" i="12"/>
  <c r="Y33" i="12"/>
  <c r="Y36" i="12"/>
  <c r="Y41" i="12"/>
  <c r="Y42" i="12"/>
  <c r="Y44" i="12"/>
  <c r="Y46" i="12"/>
  <c r="Y8" i="12"/>
  <c r="Y10" i="12"/>
  <c r="Y21" i="12"/>
  <c r="Y23" i="12"/>
  <c r="Y24" i="12"/>
  <c r="Y25" i="12"/>
  <c r="Y27" i="12"/>
  <c r="Y29" i="12"/>
  <c r="Y32" i="12"/>
  <c r="Y35" i="12"/>
  <c r="Y39" i="12"/>
  <c r="Y11" i="12"/>
  <c r="Y12" i="12"/>
  <c r="Y13" i="12"/>
  <c r="Y14" i="12"/>
  <c r="Y38" i="12"/>
  <c r="Y15" i="12"/>
  <c r="Y20" i="12"/>
  <c r="Y26" i="12"/>
  <c r="Y16" i="12"/>
  <c r="Y40" i="12"/>
  <c r="Y43" i="12"/>
  <c r="Y45" i="12"/>
  <c r="U3" i="12"/>
  <c r="Y9" i="12"/>
  <c r="Y17" i="12"/>
  <c r="Y18" i="12"/>
  <c r="Y19" i="12"/>
  <c r="T9" i="12"/>
  <c r="W46" i="12"/>
  <c r="U10" i="12" l="1"/>
  <c r="U39" i="12"/>
  <c r="U8" i="12"/>
  <c r="U35" i="12"/>
  <c r="U30" i="12"/>
  <c r="U36" i="12"/>
  <c r="U28" i="12"/>
  <c r="V8" i="12"/>
  <c r="X17" i="12"/>
  <c r="Z26" i="12"/>
  <c r="V28" i="12"/>
  <c r="W18" i="12"/>
  <c r="V26" i="12"/>
  <c r="W44" i="12"/>
  <c r="Z38" i="12"/>
  <c r="X46" i="12"/>
  <c r="X16" i="12"/>
  <c r="X22" i="12"/>
  <c r="X43" i="12"/>
  <c r="V21" i="12"/>
  <c r="V36" i="12"/>
  <c r="Z31" i="12"/>
  <c r="Z42" i="12"/>
  <c r="U25" i="12"/>
  <c r="Z34" i="12"/>
  <c r="X47" i="12"/>
  <c r="V46" i="12"/>
  <c r="W16" i="12"/>
  <c r="W22" i="12"/>
  <c r="W42" i="12"/>
  <c r="V17" i="12"/>
  <c r="Z9" i="12"/>
  <c r="W15" i="12"/>
  <c r="W23" i="12"/>
  <c r="W41" i="12"/>
  <c r="Z23" i="12"/>
  <c r="Z13" i="12"/>
  <c r="Z21" i="12"/>
  <c r="Z33" i="12"/>
  <c r="V44" i="12"/>
  <c r="W20" i="12"/>
  <c r="V37" i="12"/>
  <c r="Z8" i="12"/>
  <c r="X27" i="12"/>
  <c r="U45" i="12"/>
  <c r="U32" i="12"/>
  <c r="V41" i="12"/>
  <c r="W13" i="12"/>
  <c r="V29" i="12"/>
  <c r="X14" i="12"/>
  <c r="X37" i="12"/>
  <c r="W24" i="12"/>
  <c r="W31" i="12"/>
  <c r="Z15" i="12"/>
  <c r="Z11" i="12"/>
  <c r="X30" i="12"/>
  <c r="W28" i="12"/>
  <c r="W19" i="12"/>
  <c r="V38" i="12"/>
  <c r="U12" i="12"/>
  <c r="Z36" i="12"/>
  <c r="X34" i="12"/>
  <c r="Z30" i="12"/>
  <c r="Z35" i="12"/>
  <c r="X19" i="12"/>
  <c r="X23" i="12"/>
  <c r="X20" i="12"/>
  <c r="W43" i="12"/>
  <c r="V27" i="12"/>
  <c r="Z43" i="12"/>
  <c r="Z14" i="12"/>
  <c r="V11" i="12"/>
  <c r="W25" i="12"/>
  <c r="U44" i="12"/>
  <c r="U29" i="12"/>
  <c r="U26" i="12"/>
  <c r="X26" i="12"/>
  <c r="W38" i="12"/>
  <c r="Z32" i="12"/>
  <c r="X11" i="12"/>
  <c r="U16" i="12"/>
  <c r="U33" i="12"/>
  <c r="U15" i="12"/>
  <c r="Z40" i="12"/>
  <c r="V22" i="12"/>
  <c r="W27" i="12"/>
  <c r="W17" i="12"/>
  <c r="V12" i="12"/>
  <c r="X29" i="12"/>
  <c r="V30" i="12"/>
  <c r="V47" i="12"/>
  <c r="Z18" i="12"/>
  <c r="V25" i="12"/>
  <c r="Z16" i="12"/>
  <c r="V14" i="12"/>
  <c r="Z22" i="12"/>
  <c r="U17" i="12"/>
  <c r="W40" i="12"/>
  <c r="Z25" i="12"/>
  <c r="Z24" i="12"/>
  <c r="V24" i="12"/>
  <c r="W29" i="12"/>
  <c r="V13" i="12"/>
  <c r="X13" i="12"/>
  <c r="U21" i="12"/>
  <c r="U19" i="12"/>
  <c r="U27" i="12"/>
  <c r="V23" i="12"/>
  <c r="U47" i="12"/>
  <c r="U31" i="12"/>
  <c r="U9" i="12"/>
  <c r="U11" i="12"/>
  <c r="X41" i="12"/>
  <c r="X18" i="12"/>
  <c r="X33" i="12"/>
  <c r="W12" i="12"/>
  <c r="X15" i="12"/>
  <c r="W45" i="12"/>
  <c r="X40" i="12"/>
  <c r="Z39" i="12"/>
  <c r="X28" i="12"/>
  <c r="V16" i="12"/>
  <c r="X44" i="12"/>
  <c r="X24" i="12"/>
  <c r="W30" i="12"/>
  <c r="Z44" i="12"/>
  <c r="U23" i="12"/>
  <c r="V15" i="12"/>
  <c r="U22" i="12"/>
  <c r="U13" i="12"/>
  <c r="U43" i="12"/>
  <c r="U38" i="12"/>
  <c r="Z17" i="12"/>
  <c r="V39" i="12"/>
  <c r="V32" i="12"/>
  <c r="X39" i="12"/>
  <c r="Z20" i="12"/>
  <c r="Z12" i="12"/>
  <c r="X9" i="12"/>
  <c r="X45" i="12"/>
  <c r="W32" i="12"/>
  <c r="V45" i="12"/>
  <c r="V34" i="12"/>
  <c r="W35" i="12"/>
  <c r="Z19" i="12"/>
  <c r="X42" i="12"/>
  <c r="W21" i="12"/>
  <c r="Z29" i="12"/>
  <c r="Z47" i="12"/>
  <c r="W11" i="12"/>
  <c r="V31" i="12"/>
  <c r="U40" i="12"/>
  <c r="U46" i="12"/>
  <c r="W10" i="12"/>
  <c r="W8" i="12"/>
  <c r="W37" i="12"/>
  <c r="Z45" i="12"/>
  <c r="W26" i="12"/>
  <c r="V10" i="12"/>
  <c r="V18" i="12"/>
  <c r="W14" i="12"/>
  <c r="W34" i="12"/>
  <c r="X21" i="12"/>
  <c r="Z41" i="12"/>
  <c r="V33" i="12"/>
  <c r="W33" i="12"/>
  <c r="U37" i="12"/>
  <c r="U34" i="12"/>
  <c r="U41" i="12"/>
  <c r="U20" i="12"/>
  <c r="X36" i="12"/>
  <c r="V19" i="12"/>
  <c r="Z46" i="12"/>
  <c r="Z27" i="12"/>
  <c r="X38" i="12"/>
  <c r="V43" i="12"/>
  <c r="V42" i="12"/>
  <c r="W47" i="12"/>
  <c r="X12" i="12"/>
  <c r="W39" i="12"/>
  <c r="U14" i="12"/>
  <c r="U42" i="12"/>
  <c r="U18" i="12"/>
  <c r="V9" i="12"/>
  <c r="X31" i="12"/>
  <c r="W36" i="12"/>
  <c r="Z10" i="12"/>
  <c r="V35" i="12"/>
  <c r="X32" i="12"/>
  <c r="X10" i="12"/>
  <c r="Z37" i="12"/>
  <c r="X8" i="12"/>
  <c r="V20" i="12"/>
  <c r="X25" i="12"/>
  <c r="X35" i="12"/>
  <c r="V40" i="12"/>
  <c r="Z28" i="12"/>
  <c r="U24" i="12"/>
  <c r="W9" i="12"/>
  <c r="AA34" i="12" l="1"/>
  <c r="AC34" i="12" s="1"/>
  <c r="AA24" i="12"/>
  <c r="AC24" i="12" s="1"/>
  <c r="AA43" i="12"/>
  <c r="AC43" i="12" s="1"/>
  <c r="AA15" i="12"/>
  <c r="AC15" i="12" s="1"/>
  <c r="AA38" i="12"/>
  <c r="AC38" i="12" s="1"/>
  <c r="AA46" i="12"/>
  <c r="AC46" i="12" s="1"/>
  <c r="AA21" i="12"/>
  <c r="AC21" i="12" s="1"/>
  <c r="AA27" i="12"/>
  <c r="AC27" i="12" s="1"/>
  <c r="AA12" i="12"/>
  <c r="AC12" i="12" s="1"/>
  <c r="AA19" i="12"/>
  <c r="AC19" i="12" s="1"/>
  <c r="AA25" i="12"/>
  <c r="AC25" i="12" s="1"/>
  <c r="AA33" i="12"/>
  <c r="AC33" i="12" s="1"/>
  <c r="AA22" i="12"/>
  <c r="AC22" i="12" s="1"/>
  <c r="AA28" i="12"/>
  <c r="AC28" i="12" s="1"/>
  <c r="AA36" i="12"/>
  <c r="AC36" i="12" s="1"/>
  <c r="AA45" i="12"/>
  <c r="AC45" i="12" s="1"/>
  <c r="AA30" i="12"/>
  <c r="AC30" i="12" s="1"/>
  <c r="AA13" i="12"/>
  <c r="AC13" i="12" s="1"/>
  <c r="AA16" i="12"/>
  <c r="AC16" i="12" s="1"/>
  <c r="AA26" i="12"/>
  <c r="AC26" i="12" s="1"/>
  <c r="AA35" i="12"/>
  <c r="AC35" i="12" s="1"/>
  <c r="AA37" i="12"/>
  <c r="AC37" i="12" s="1"/>
  <c r="AA29" i="12"/>
  <c r="AC29" i="12" s="1"/>
  <c r="AA8" i="12"/>
  <c r="AC8" i="12" s="1"/>
  <c r="AA40" i="12"/>
  <c r="AC40" i="12" s="1"/>
  <c r="AA23" i="12"/>
  <c r="AC23" i="12" s="1"/>
  <c r="AA18" i="12"/>
  <c r="AC18" i="12" s="1"/>
  <c r="AA20" i="12"/>
  <c r="AC20" i="12" s="1"/>
  <c r="AA44" i="12"/>
  <c r="AC44" i="12" s="1"/>
  <c r="AA39" i="12"/>
  <c r="AC39" i="12" s="1"/>
  <c r="AA32" i="12"/>
  <c r="AC32" i="12" s="1"/>
  <c r="AA11" i="12"/>
  <c r="AC11" i="12" s="1"/>
  <c r="AA9" i="12"/>
  <c r="AC9" i="12" s="1"/>
  <c r="AA42" i="12"/>
  <c r="AC42" i="12" s="1"/>
  <c r="AA31" i="12"/>
  <c r="AC31" i="12" s="1"/>
  <c r="AA14" i="12"/>
  <c r="AC14" i="12" s="1"/>
  <c r="AA41" i="12"/>
  <c r="AC41" i="12" s="1"/>
  <c r="AA47" i="12"/>
  <c r="AC47" i="12" s="1"/>
  <c r="AA17" i="12"/>
  <c r="AC17" i="12" s="1"/>
  <c r="AA10" i="12"/>
  <c r="AC10" i="12" s="1"/>
</calcChain>
</file>

<file path=xl/sharedStrings.xml><?xml version="1.0" encoding="utf-8"?>
<sst xmlns="http://schemas.openxmlformats.org/spreadsheetml/2006/main" count="117" uniqueCount="27">
  <si>
    <t>TES pesos</t>
  </si>
  <si>
    <t>TES UVR</t>
  </si>
  <si>
    <t>Bonos Externos</t>
  </si>
  <si>
    <t>Multilaterales y otros**</t>
  </si>
  <si>
    <t>HHI</t>
  </si>
  <si>
    <t>TOTAL COP</t>
  </si>
  <si>
    <t>TES CP</t>
  </si>
  <si>
    <t>Total Externa</t>
  </si>
  <si>
    <t>Total</t>
  </si>
  <si>
    <t>TDS</t>
  </si>
  <si>
    <t>Otros Interna</t>
  </si>
  <si>
    <t>Total Interna</t>
  </si>
  <si>
    <t>Fecha:</t>
  </si>
  <si>
    <t>Tasa de cambio</t>
  </si>
  <si>
    <t>Otros Interna*</t>
  </si>
  <si>
    <t>AÑO</t>
  </si>
  <si>
    <t>Pagares</t>
  </si>
  <si>
    <t xml:space="preserve">Perfil de Vencimientos </t>
  </si>
  <si>
    <t>TOTAL PESOS COP (MILLONES)</t>
  </si>
  <si>
    <t>Lineamiento prudencial EGDMP</t>
  </si>
  <si>
    <t>Multilaterales**</t>
  </si>
  <si>
    <t>.</t>
  </si>
  <si>
    <t>TRS</t>
  </si>
  <si>
    <t>EXCLUIDOS</t>
  </si>
  <si>
    <t>DEUDA BRUTA TOTAL</t>
  </si>
  <si>
    <t>CUN</t>
  </si>
  <si>
    <t>NO CUN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</si>
</sst>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(* #,##0_);_(* \(#,##0\);_(* &quot;-&quot;_);_(@_)"/>
    <numFmt numFmtId="165" formatCode="_(* #,##0.00_);_(* \(#,##0.00\);_(* &quot;-&quot;??_);_(@_)"/>
    <numFmt numFmtId="166" formatCode="&quot;$&quot;\ #,##0"/>
    <numFmt numFmtId="167" formatCode="_ * #,##0.00_ ;_ * \-#,##0.00_ ;_ * &quot;-&quot;??_ ;_ @_ "/>
    <numFmt numFmtId="168" formatCode="_(* #,##0.0_);_(* \(#,##0.0\);_(* &quot;-&quot;_);_(@_)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0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name val="Arial"/>
      <family val="2"/>
    </font>
    <font>
      <b/>
      <sz val="11"/>
      <color theme="0"/>
      <name val="Calibri"/>
      <family val="2"/>
      <scheme val="minor"/>
    </font>
    <font>
      <sz val="11"/>
      <color theme="3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167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65">
    <xf numFmtId="0" fontId="0" fillId="0" borderId="0" xfId="0"/>
    <xf numFmtId="0" fontId="0" fillId="4" borderId="0" xfId="0" applyFill="1"/>
    <xf numFmtId="0" fontId="0" fillId="4" borderId="0" xfId="0" applyFill="1" applyAlignment="1">
      <alignment horizontal="center"/>
    </xf>
    <xf numFmtId="164" fontId="0" fillId="4" borderId="0" xfId="1" applyFont="1" applyFill="1" applyAlignment="1">
      <alignment horizontal="center"/>
    </xf>
    <xf numFmtId="165" fontId="0" fillId="4" borderId="0" xfId="0" applyNumberFormat="1" applyFill="1"/>
    <xf numFmtId="0" fontId="5" fillId="4" borderId="0" xfId="0" applyFont="1" applyFill="1" applyAlignment="1">
      <alignment vertical="center"/>
    </xf>
    <xf numFmtId="0" fontId="3" fillId="4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14" fontId="8" fillId="4" borderId="1" xfId="0" applyNumberFormat="1" applyFont="1" applyFill="1" applyBorder="1" applyAlignment="1">
      <alignment vertical="center"/>
    </xf>
    <xf numFmtId="0" fontId="0" fillId="3" borderId="0" xfId="0" applyFill="1"/>
    <xf numFmtId="0" fontId="0" fillId="3" borderId="4" xfId="0" applyFill="1" applyBorder="1"/>
    <xf numFmtId="0" fontId="0" fillId="3" borderId="3" xfId="0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0" fillId="3" borderId="8" xfId="0" applyFill="1" applyBorder="1"/>
    <xf numFmtId="166" fontId="10" fillId="4" borderId="0" xfId="0" applyNumberFormat="1" applyFont="1" applyFill="1" applyAlignment="1">
      <alignment horizontal="center" vertical="center"/>
    </xf>
    <xf numFmtId="164" fontId="10" fillId="4" borderId="0" xfId="1" applyFont="1" applyFill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43" fontId="0" fillId="3" borderId="8" xfId="3" applyFont="1" applyFill="1" applyBorder="1"/>
    <xf numFmtId="43" fontId="0" fillId="3" borderId="0" xfId="3" applyFont="1" applyFill="1" applyBorder="1"/>
    <xf numFmtId="43" fontId="0" fillId="3" borderId="4" xfId="3" applyFont="1" applyFill="1" applyBorder="1"/>
    <xf numFmtId="43" fontId="0" fillId="3" borderId="9" xfId="3" applyFont="1" applyFill="1" applyBorder="1"/>
    <xf numFmtId="43" fontId="0" fillId="3" borderId="6" xfId="3" applyFont="1" applyFill="1" applyBorder="1"/>
    <xf numFmtId="43" fontId="0" fillId="3" borderId="7" xfId="3" applyFont="1" applyFill="1" applyBorder="1"/>
    <xf numFmtId="0" fontId="6" fillId="3" borderId="10" xfId="0" applyFont="1" applyFill="1" applyBorder="1" applyAlignment="1">
      <alignment horizontal="center" vertical="center"/>
    </xf>
    <xf numFmtId="166" fontId="6" fillId="3" borderId="2" xfId="0" applyNumberFormat="1" applyFont="1" applyFill="1" applyBorder="1" applyAlignment="1">
      <alignment horizontal="center" vertical="center"/>
    </xf>
    <xf numFmtId="166" fontId="6" fillId="3" borderId="11" xfId="0" applyNumberFormat="1" applyFont="1" applyFill="1" applyBorder="1" applyAlignment="1">
      <alignment horizontal="center" vertical="center"/>
    </xf>
    <xf numFmtId="166" fontId="6" fillId="3" borderId="12" xfId="0" applyNumberFormat="1" applyFont="1" applyFill="1" applyBorder="1" applyAlignment="1">
      <alignment horizontal="center" vertical="center"/>
    </xf>
    <xf numFmtId="164" fontId="0" fillId="5" borderId="3" xfId="1" applyFont="1" applyFill="1" applyBorder="1" applyAlignment="1">
      <alignment horizontal="center"/>
    </xf>
    <xf numFmtId="164" fontId="0" fillId="5" borderId="4" xfId="1" applyFont="1" applyFill="1" applyBorder="1" applyAlignment="1">
      <alignment horizontal="center"/>
    </xf>
    <xf numFmtId="164" fontId="0" fillId="5" borderId="5" xfId="1" applyFont="1" applyFill="1" applyBorder="1" applyAlignment="1">
      <alignment horizontal="center"/>
    </xf>
    <xf numFmtId="164" fontId="0" fillId="5" borderId="7" xfId="1" applyFont="1" applyFill="1" applyBorder="1" applyAlignment="1">
      <alignment horizontal="center"/>
    </xf>
    <xf numFmtId="166" fontId="6" fillId="5" borderId="10" xfId="0" applyNumberFormat="1" applyFont="1" applyFill="1" applyBorder="1" applyAlignment="1">
      <alignment horizontal="center" vertical="center"/>
    </xf>
    <xf numFmtId="166" fontId="6" fillId="5" borderId="12" xfId="0" applyNumberFormat="1" applyFont="1" applyFill="1" applyBorder="1" applyAlignment="1">
      <alignment horizontal="center" vertical="center"/>
    </xf>
    <xf numFmtId="166" fontId="6" fillId="5" borderId="2" xfId="0" applyNumberFormat="1" applyFont="1" applyFill="1" applyBorder="1" applyAlignment="1">
      <alignment horizontal="center" vertical="center"/>
    </xf>
    <xf numFmtId="164" fontId="0" fillId="5" borderId="8" xfId="1" applyFont="1" applyFill="1" applyBorder="1" applyAlignment="1">
      <alignment horizontal="center"/>
    </xf>
    <xf numFmtId="164" fontId="0" fillId="5" borderId="9" xfId="1" applyFont="1" applyFill="1" applyBorder="1" applyAlignment="1">
      <alignment horizontal="center"/>
    </xf>
    <xf numFmtId="164" fontId="9" fillId="4" borderId="1" xfId="1" applyFont="1" applyFill="1" applyBorder="1" applyAlignment="1">
      <alignment horizontal="center"/>
    </xf>
    <xf numFmtId="44" fontId="0" fillId="4" borderId="0" xfId="4" applyFont="1" applyFill="1" applyAlignment="1">
      <alignment horizontal="center"/>
    </xf>
    <xf numFmtId="164" fontId="0" fillId="2" borderId="3" xfId="1" applyFont="1" applyFill="1" applyBorder="1" applyAlignment="1">
      <alignment horizontal="center"/>
    </xf>
    <xf numFmtId="164" fontId="0" fillId="2" borderId="0" xfId="1" applyFont="1" applyFill="1" applyBorder="1" applyAlignment="1">
      <alignment horizontal="center"/>
    </xf>
    <xf numFmtId="168" fontId="0" fillId="2" borderId="0" xfId="1" applyNumberFormat="1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165" fontId="0" fillId="2" borderId="4" xfId="0" applyNumberFormat="1" applyFill="1" applyBorder="1"/>
    <xf numFmtId="164" fontId="0" fillId="2" borderId="5" xfId="1" applyFont="1" applyFill="1" applyBorder="1" applyAlignment="1">
      <alignment horizontal="center"/>
    </xf>
    <xf numFmtId="164" fontId="0" fillId="2" borderId="6" xfId="1" applyFont="1" applyFill="1" applyBorder="1" applyAlignment="1">
      <alignment horizontal="center"/>
    </xf>
    <xf numFmtId="168" fontId="0" fillId="2" borderId="6" xfId="1" applyNumberFormat="1" applyFon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165" fontId="0" fillId="2" borderId="7" xfId="0" applyNumberFormat="1" applyFill="1" applyBorder="1"/>
    <xf numFmtId="166" fontId="6" fillId="2" borderId="10" xfId="0" applyNumberFormat="1" applyFont="1" applyFill="1" applyBorder="1" applyAlignment="1">
      <alignment horizontal="center" vertical="center"/>
    </xf>
    <xf numFmtId="166" fontId="6" fillId="2" borderId="11" xfId="0" applyNumberFormat="1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 wrapText="1"/>
    </xf>
    <xf numFmtId="4" fontId="0" fillId="4" borderId="0" xfId="0" applyNumberFormat="1" applyFill="1" applyAlignment="1">
      <alignment horizontal="center"/>
    </xf>
    <xf numFmtId="43" fontId="0" fillId="4" borderId="0" xfId="0" applyNumberFormat="1" applyFill="1"/>
    <xf numFmtId="4" fontId="0" fillId="4" borderId="0" xfId="0" applyNumberFormat="1" applyFill="1"/>
    <xf numFmtId="0" fontId="11" fillId="4" borderId="0" xfId="0" applyFont="1" applyFill="1"/>
    <xf numFmtId="43" fontId="12" fillId="4" borderId="0" xfId="0" applyNumberFormat="1" applyFont="1" applyFill="1" applyAlignment="1">
      <alignment vertical="center"/>
    </xf>
    <xf numFmtId="164" fontId="13" fillId="6" borderId="0" xfId="1" applyFont="1" applyFill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4" fillId="4" borderId="0" xfId="0" applyFont="1" applyFill="1"/>
    <xf numFmtId="43" fontId="0" fillId="4" borderId="0" xfId="3" applyFont="1" applyFill="1"/>
    <xf numFmtId="0" fontId="5" fillId="7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</cellXfs>
  <cellStyles count="5">
    <cellStyle name="Millares" xfId="3" builtinId="3"/>
    <cellStyle name="Millares [0]" xfId="1" builtinId="6"/>
    <cellStyle name="Millares 3 2" xfId="2" xr:uid="{00000000-0005-0000-0000-000002000000}"/>
    <cellStyle name="Moneda" xfId="4" builtinId="4"/>
    <cellStyle name="Normal" xfId="0" builtinId="0"/>
  </cellStyles>
  <dxfs count="0"/>
  <tableStyles count="0" defaultTableStyle="TableStyleMedium2" defaultPivotStyle="PivotStyleLight16"/>
  <colors>
    <mruColors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CO" b="1"/>
              <a:t>Perfil de vencimientos de deuda (COP</a:t>
            </a:r>
            <a:r>
              <a:rPr lang="es-CO" b="1" baseline="0"/>
              <a:t> billones</a:t>
            </a:r>
            <a:r>
              <a:rPr lang="es-CO" b="1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3.2756693909492159E-2"/>
          <c:y val="7.8585040748624199E-2"/>
          <c:w val="0.95350403921660809"/>
          <c:h val="0.66556364796748824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'PV Enero 2026'!$U$6</c:f>
              <c:strCache>
                <c:ptCount val="1"/>
                <c:pt idx="0">
                  <c:v>TES pesos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'PV Enero 2026'!$A$8:$A$48</c:f>
              <c:numCache>
                <c:formatCode>General</c:formatCode>
                <c:ptCount val="41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Enero 2026'!$N$8:$N$48</c:f>
              <c:numCache>
                <c:formatCode>_(* #,##0_);_(* \(#,##0\);_(* "-"_);_(@_)</c:formatCode>
                <c:ptCount val="41"/>
                <c:pt idx="0">
                  <c:v>8813566.0999999996</c:v>
                </c:pt>
                <c:pt idx="1">
                  <c:v>19358357</c:v>
                </c:pt>
                <c:pt idx="2">
                  <c:v>34426114.5</c:v>
                </c:pt>
                <c:pt idx="3">
                  <c:v>43725181.600000001</c:v>
                </c:pt>
                <c:pt idx="4">
                  <c:v>32027116</c:v>
                </c:pt>
                <c:pt idx="5">
                  <c:v>35209514.799999997</c:v>
                </c:pt>
                <c:pt idx="6">
                  <c:v>27621627</c:v>
                </c:pt>
                <c:pt idx="7">
                  <c:v>52313881.899999999</c:v>
                </c:pt>
                <c:pt idx="8">
                  <c:v>15761623.300000001</c:v>
                </c:pt>
                <c:pt idx="9">
                  <c:v>25672837.199999999</c:v>
                </c:pt>
                <c:pt idx="10">
                  <c:v>19628754.699999999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24624199</c:v>
                </c:pt>
                <c:pt idx="15">
                  <c:v>0</c:v>
                </c:pt>
                <c:pt idx="16">
                  <c:v>47012754.799999997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35692554.399999999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21978239.399999999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10528649.5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F5-4B9A-9C01-DB0DDFB5323D}"/>
            </c:ext>
          </c:extLst>
        </c:ser>
        <c:ser>
          <c:idx val="2"/>
          <c:order val="2"/>
          <c:tx>
            <c:strRef>
              <c:f>'PV Enero 2026'!$V$6</c:f>
              <c:strCache>
                <c:ptCount val="1"/>
                <c:pt idx="0">
                  <c:v>TES UVR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'PV Enero 2026'!$A$8:$A$48</c:f>
              <c:numCache>
                <c:formatCode>General</c:formatCode>
                <c:ptCount val="41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Enero 2026'!$O$8:$O$48</c:f>
              <c:numCache>
                <c:formatCode>_(* #,##0_);_(* \(#,##0\);_(* "-"_);_(@_)</c:formatCode>
                <c:ptCount val="41"/>
                <c:pt idx="0">
                  <c:v>0</c:v>
                </c:pt>
                <c:pt idx="1">
                  <c:v>19744304.78748</c:v>
                </c:pt>
                <c:pt idx="2">
                  <c:v>0</c:v>
                </c:pt>
                <c:pt idx="3">
                  <c:v>14836036.134285601</c:v>
                </c:pt>
                <c:pt idx="4">
                  <c:v>0</c:v>
                </c:pt>
                <c:pt idx="5">
                  <c:v>21615469.653544001</c:v>
                </c:pt>
                <c:pt idx="6">
                  <c:v>0</c:v>
                </c:pt>
                <c:pt idx="7">
                  <c:v>14356354.364913601</c:v>
                </c:pt>
                <c:pt idx="8">
                  <c:v>0</c:v>
                </c:pt>
                <c:pt idx="9">
                  <c:v>30443501.8203368</c:v>
                </c:pt>
                <c:pt idx="10">
                  <c:v>0</c:v>
                </c:pt>
                <c:pt idx="11">
                  <c:v>44171277.961262397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6860293.6545936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32094970.323655199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10423000.0568096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20472312.936275199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F5-4B9A-9C01-DB0DDFB5323D}"/>
            </c:ext>
          </c:extLst>
        </c:ser>
        <c:ser>
          <c:idx val="3"/>
          <c:order val="3"/>
          <c:tx>
            <c:strRef>
              <c:f>'PV Enero 2026'!$W$6</c:f>
              <c:strCache>
                <c:ptCount val="1"/>
                <c:pt idx="0">
                  <c:v>Otros Interna*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'PV Enero 2026'!$A$8:$A$48</c:f>
              <c:numCache>
                <c:formatCode>General</c:formatCode>
                <c:ptCount val="41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Enero 2026'!$P$8:$P$48</c:f>
              <c:numCache>
                <c:formatCode>_(* #,##0_);_(* \(#,##0\);_(* "-"_);_(@_)</c:formatCode>
                <c:ptCount val="41"/>
                <c:pt idx="0">
                  <c:v>62836.014252003282</c:v>
                </c:pt>
                <c:pt idx="1">
                  <c:v>-3.7252902984619141E-9</c:v>
                </c:pt>
                <c:pt idx="2">
                  <c:v>0</c:v>
                </c:pt>
                <c:pt idx="3">
                  <c:v>9742371.0450219959</c:v>
                </c:pt>
                <c:pt idx="4">
                  <c:v>1817282.3738635927</c:v>
                </c:pt>
                <c:pt idx="5">
                  <c:v>0</c:v>
                </c:pt>
                <c:pt idx="6">
                  <c:v>0.41499999910593033</c:v>
                </c:pt>
                <c:pt idx="7">
                  <c:v>6.6550000049173832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F5-4B9A-9C01-DB0DDFB5323D}"/>
            </c:ext>
          </c:extLst>
        </c:ser>
        <c:ser>
          <c:idx val="4"/>
          <c:order val="4"/>
          <c:tx>
            <c:strRef>
              <c:f>'PV Enero 2026'!$X$6</c:f>
              <c:strCache>
                <c:ptCount val="1"/>
                <c:pt idx="0">
                  <c:v>Bonos Externos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'PV Enero 2026'!$A$8:$A$48</c:f>
              <c:numCache>
                <c:formatCode>General</c:formatCode>
                <c:ptCount val="41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Enero 2026'!$Q$8:$Q$48</c:f>
              <c:numCache>
                <c:formatCode>_(* #,##0_);_(* \(#,##0\);_(* "-"_);_(@_)</c:formatCode>
                <c:ptCount val="41"/>
                <c:pt idx="0">
                  <c:v>1569287.1387003413</c:v>
                </c:pt>
                <c:pt idx="1">
                  <c:v>6984616.9051474165</c:v>
                </c:pt>
                <c:pt idx="2">
                  <c:v>6366136.5776072787</c:v>
                </c:pt>
                <c:pt idx="3">
                  <c:v>14681880.000478035</c:v>
                </c:pt>
                <c:pt idx="4">
                  <c:v>14820873.35844256</c:v>
                </c:pt>
                <c:pt idx="5">
                  <c:v>14736760.867919823</c:v>
                </c:pt>
                <c:pt idx="6">
                  <c:v>13673271.549145196</c:v>
                </c:pt>
                <c:pt idx="7">
                  <c:v>12047862.637112273</c:v>
                </c:pt>
                <c:pt idx="8">
                  <c:v>11132021.644562453</c:v>
                </c:pt>
                <c:pt idx="9">
                  <c:v>8235246.3452981357</c:v>
                </c:pt>
                <c:pt idx="10">
                  <c:v>12581490.247609649</c:v>
                </c:pt>
                <c:pt idx="11">
                  <c:v>6674382.6482173149</c:v>
                </c:pt>
                <c:pt idx="12">
                  <c:v>3493700.1649137535</c:v>
                </c:pt>
                <c:pt idx="13">
                  <c:v>0</c:v>
                </c:pt>
                <c:pt idx="14">
                  <c:v>0</c:v>
                </c:pt>
                <c:pt idx="15">
                  <c:v>9176175.000298772</c:v>
                </c:pt>
                <c:pt idx="16">
                  <c:v>1888625.6566814929</c:v>
                </c:pt>
                <c:pt idx="17">
                  <c:v>0</c:v>
                </c:pt>
                <c:pt idx="18">
                  <c:v>9176175.000298772</c:v>
                </c:pt>
                <c:pt idx="19">
                  <c:v>13474104.50599871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7959351.7972691534</c:v>
                </c:pt>
                <c:pt idx="24">
                  <c:v>0</c:v>
                </c:pt>
                <c:pt idx="25">
                  <c:v>3801601.2113437788</c:v>
                </c:pt>
                <c:pt idx="26">
                  <c:v>0</c:v>
                </c:pt>
                <c:pt idx="27">
                  <c:v>3102923.5763510298</c:v>
                </c:pt>
                <c:pt idx="28">
                  <c:v>6019570.8001959948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2759587.8125398508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F5-4B9A-9C01-DB0DDFB5323D}"/>
            </c:ext>
          </c:extLst>
        </c:ser>
        <c:ser>
          <c:idx val="5"/>
          <c:order val="5"/>
          <c:tx>
            <c:strRef>
              <c:f>'PV Enero 2026'!$Z$6</c:f>
              <c:strCache>
                <c:ptCount val="1"/>
                <c:pt idx="0">
                  <c:v>Multilaterales**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'PV Enero 2026'!$A$8:$A$48</c:f>
              <c:numCache>
                <c:formatCode>General</c:formatCode>
                <c:ptCount val="41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Enero 2026'!$S$8:$S$48</c:f>
              <c:numCache>
                <c:formatCode>_(* #,##0_);_(* \(#,##0\);_(* "-"_);_(@_)</c:formatCode>
                <c:ptCount val="41"/>
                <c:pt idx="0">
                  <c:v>6286748.660601397</c:v>
                </c:pt>
                <c:pt idx="1">
                  <c:v>9189187.3362108711</c:v>
                </c:pt>
                <c:pt idx="2">
                  <c:v>13209223.653753022</c:v>
                </c:pt>
                <c:pt idx="3">
                  <c:v>10932345.278453041</c:v>
                </c:pt>
                <c:pt idx="4">
                  <c:v>10888476.679141592</c:v>
                </c:pt>
                <c:pt idx="5">
                  <c:v>13038550.253265375</c:v>
                </c:pt>
                <c:pt idx="6">
                  <c:v>8587154.5363133978</c:v>
                </c:pt>
                <c:pt idx="7">
                  <c:v>8857958.6160155069</c:v>
                </c:pt>
                <c:pt idx="8">
                  <c:v>7955784.5001330236</c:v>
                </c:pt>
                <c:pt idx="9">
                  <c:v>9292502.0793002658</c:v>
                </c:pt>
                <c:pt idx="10">
                  <c:v>13669809.665197371</c:v>
                </c:pt>
                <c:pt idx="11">
                  <c:v>4706778.422094468</c:v>
                </c:pt>
                <c:pt idx="12">
                  <c:v>9293960.8461543266</c:v>
                </c:pt>
                <c:pt idx="13">
                  <c:v>5388273.8601368424</c:v>
                </c:pt>
                <c:pt idx="14">
                  <c:v>5993005.1168586202</c:v>
                </c:pt>
                <c:pt idx="15">
                  <c:v>1941722.9056226637</c:v>
                </c:pt>
                <c:pt idx="16">
                  <c:v>1233572.6188681985</c:v>
                </c:pt>
                <c:pt idx="17">
                  <c:v>519451.49344486761</c:v>
                </c:pt>
                <c:pt idx="18">
                  <c:v>367696.29635643272</c:v>
                </c:pt>
                <c:pt idx="19">
                  <c:v>333955.97008225275</c:v>
                </c:pt>
                <c:pt idx="20">
                  <c:v>310845.61064735852</c:v>
                </c:pt>
                <c:pt idx="21">
                  <c:v>289959.63012502476</c:v>
                </c:pt>
                <c:pt idx="22">
                  <c:v>287775.80632665142</c:v>
                </c:pt>
                <c:pt idx="23">
                  <c:v>280660.64840367745</c:v>
                </c:pt>
                <c:pt idx="24">
                  <c:v>239147.40440621279</c:v>
                </c:pt>
                <c:pt idx="25">
                  <c:v>179128.44715634821</c:v>
                </c:pt>
                <c:pt idx="26">
                  <c:v>179128.44715634859</c:v>
                </c:pt>
                <c:pt idx="27">
                  <c:v>179128.44715634861</c:v>
                </c:pt>
                <c:pt idx="28">
                  <c:v>179128.44715634821</c:v>
                </c:pt>
                <c:pt idx="29">
                  <c:v>179128.44715634859</c:v>
                </c:pt>
                <c:pt idx="30">
                  <c:v>179128.44715634859</c:v>
                </c:pt>
                <c:pt idx="31">
                  <c:v>179128.44715634859</c:v>
                </c:pt>
                <c:pt idx="32">
                  <c:v>179128.44715634859</c:v>
                </c:pt>
                <c:pt idx="33">
                  <c:v>131684.37112052931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F5-4B9A-9C01-DB0DDFB5323D}"/>
            </c:ext>
          </c:extLst>
        </c:ser>
        <c:ser>
          <c:idx val="7"/>
          <c:order val="7"/>
          <c:tx>
            <c:strRef>
              <c:f>'PV Enero 2026'!$R$6</c:f>
              <c:strCache>
                <c:ptCount val="1"/>
                <c:pt idx="0">
                  <c:v>TRS</c:v>
                </c:pt>
              </c:strCache>
            </c:strRef>
          </c:tx>
          <c:spPr>
            <a:solidFill>
              <a:schemeClr val="bg2"/>
            </a:solidFill>
            <a:ln w="25400">
              <a:noFill/>
            </a:ln>
            <a:effectLst/>
          </c:spPr>
          <c:invertIfNegative val="0"/>
          <c:cat>
            <c:numRef>
              <c:f>'PV Enero 2026'!$A$8:$A$44</c:f>
              <c:numCache>
                <c:formatCode>General</c:formatCode>
                <c:ptCount val="3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Enero 2026'!$R$8:$R$47</c:f>
              <c:numCache>
                <c:formatCode>_(* #,##0_);_(* \(#,##0\);_(* "-"_);_(@_)</c:formatCode>
                <c:ptCount val="40"/>
                <c:pt idx="0">
                  <c:v>35786548.018114977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77-409B-84C9-25571621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overlap val="100"/>
        <c:axId val="747331615"/>
        <c:axId val="747338687"/>
      </c:barChart>
      <c:lineChart>
        <c:grouping val="standard"/>
        <c:varyColors val="0"/>
        <c:ser>
          <c:idx val="0"/>
          <c:order val="0"/>
          <c:tx>
            <c:strRef>
              <c:f>'PV Enero 2026'!$AA$6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'PV Enero 2026'!$A$8:$A$44</c:f>
              <c:numCache>
                <c:formatCode>General</c:formatCode>
                <c:ptCount val="3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Enero 2026'!$T$8:$T$48</c:f>
              <c:numCache>
                <c:formatCode>General</c:formatCode>
                <c:ptCount val="41"/>
                <c:pt idx="0">
                  <c:v>52518985.931668721</c:v>
                </c:pt>
                <c:pt idx="1">
                  <c:v>55276466.028838284</c:v>
                </c:pt>
                <c:pt idx="2">
                  <c:v>54001474.731360301</c:v>
                </c:pt>
                <c:pt idx="3">
                  <c:v>93917814.05823867</c:v>
                </c:pt>
                <c:pt idx="4">
                  <c:v>59553748.411447749</c:v>
                </c:pt>
                <c:pt idx="5">
                  <c:v>84600295.574729204</c:v>
                </c:pt>
                <c:pt idx="6">
                  <c:v>49882053.500458598</c:v>
                </c:pt>
                <c:pt idx="7">
                  <c:v>87576064.173041388</c:v>
                </c:pt>
                <c:pt idx="8">
                  <c:v>34849429.44469548</c:v>
                </c:pt>
                <c:pt idx="9">
                  <c:v>73644087.444935203</c:v>
                </c:pt>
                <c:pt idx="10">
                  <c:v>45880054.612807021</c:v>
                </c:pt>
                <c:pt idx="11">
                  <c:v>55552439.031574175</c:v>
                </c:pt>
                <c:pt idx="12">
                  <c:v>12787661.01106808</c:v>
                </c:pt>
                <c:pt idx="13">
                  <c:v>5388273.8601368424</c:v>
                </c:pt>
                <c:pt idx="14">
                  <c:v>30617204.11685862</c:v>
                </c:pt>
                <c:pt idx="15">
                  <c:v>17978191.560515035</c:v>
                </c:pt>
                <c:pt idx="16">
                  <c:v>50134953.075549692</c:v>
                </c:pt>
                <c:pt idx="17">
                  <c:v>519451.49344486761</c:v>
                </c:pt>
                <c:pt idx="18">
                  <c:v>9543871.2966552041</c:v>
                </c:pt>
                <c:pt idx="19">
                  <c:v>13808060.476080963</c:v>
                </c:pt>
                <c:pt idx="20">
                  <c:v>36003400.010647357</c:v>
                </c:pt>
                <c:pt idx="21">
                  <c:v>289959.63012502476</c:v>
                </c:pt>
                <c:pt idx="22">
                  <c:v>287775.80632665142</c:v>
                </c:pt>
                <c:pt idx="23">
                  <c:v>40334982.769328028</c:v>
                </c:pt>
                <c:pt idx="24">
                  <c:v>22217386.804406211</c:v>
                </c:pt>
                <c:pt idx="25">
                  <c:v>3980729.658500127</c:v>
                </c:pt>
                <c:pt idx="26">
                  <c:v>179128.44715634859</c:v>
                </c:pt>
                <c:pt idx="27">
                  <c:v>3282052.0235073785</c:v>
                </c:pt>
                <c:pt idx="28">
                  <c:v>6198699.2473523431</c:v>
                </c:pt>
                <c:pt idx="29">
                  <c:v>10602128.50396595</c:v>
                </c:pt>
                <c:pt idx="30">
                  <c:v>179128.44715634859</c:v>
                </c:pt>
                <c:pt idx="31">
                  <c:v>179128.44715634859</c:v>
                </c:pt>
                <c:pt idx="32">
                  <c:v>10707777.947156349</c:v>
                </c:pt>
                <c:pt idx="33">
                  <c:v>131684.37112052931</c:v>
                </c:pt>
                <c:pt idx="34">
                  <c:v>0</c:v>
                </c:pt>
                <c:pt idx="35">
                  <c:v>2759587.8125398508</c:v>
                </c:pt>
                <c:pt idx="36">
                  <c:v>20472312.936275199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3F5-4B9A-9C01-DB0DDFB53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331615"/>
        <c:axId val="747338687"/>
        <c:extLst>
          <c:ext xmlns:c15="http://schemas.microsoft.com/office/drawing/2012/chart" uri="{02D57815-91ED-43cb-92C2-25804820EDAC}">
            <c15:filteredLine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'PV Enero 2026'!$AB$6</c15:sqref>
                        </c15:formulaRef>
                      </c:ext>
                    </c:extLst>
                    <c:strCache>
                      <c:ptCount val="1"/>
                      <c:pt idx="0">
                        <c:v>Lineamiento prudencial EGDMP</c:v>
                      </c:pt>
                    </c:strCache>
                  </c:strRef>
                </c:tx>
                <c:spPr>
                  <a:ln w="6350" cap="rnd">
                    <a:solidFill>
                      <a:schemeClr val="tx1">
                        <a:lumMod val="50000"/>
                        <a:lumOff val="5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'PV Enero 2026'!$A$8:$A$44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'PV Enero 2026'!$AB$8:$AB$48</c15:sqref>
                        </c15:formulaRef>
                      </c:ext>
                    </c:extLst>
                    <c:numCache>
                      <c:formatCode>General</c:formatCode>
                      <c:ptCount val="41"/>
                      <c:pt idx="0">
                        <c:v>8</c:v>
                      </c:pt>
                      <c:pt idx="1">
                        <c:v>8</c:v>
                      </c:pt>
                      <c:pt idx="2">
                        <c:v>8</c:v>
                      </c:pt>
                      <c:pt idx="3">
                        <c:v>8</c:v>
                      </c:pt>
                      <c:pt idx="4">
                        <c:v>8</c:v>
                      </c:pt>
                      <c:pt idx="5">
                        <c:v>8</c:v>
                      </c:pt>
                      <c:pt idx="6">
                        <c:v>8</c:v>
                      </c:pt>
                      <c:pt idx="7">
                        <c:v>8</c:v>
                      </c:pt>
                      <c:pt idx="8">
                        <c:v>8</c:v>
                      </c:pt>
                      <c:pt idx="9">
                        <c:v>8</c:v>
                      </c:pt>
                      <c:pt idx="10">
                        <c:v>8</c:v>
                      </c:pt>
                      <c:pt idx="11">
                        <c:v>8</c:v>
                      </c:pt>
                      <c:pt idx="12">
                        <c:v>8</c:v>
                      </c:pt>
                      <c:pt idx="13">
                        <c:v>8</c:v>
                      </c:pt>
                      <c:pt idx="14">
                        <c:v>8</c:v>
                      </c:pt>
                      <c:pt idx="15">
                        <c:v>8</c:v>
                      </c:pt>
                      <c:pt idx="16">
                        <c:v>8</c:v>
                      </c:pt>
                      <c:pt idx="17">
                        <c:v>8</c:v>
                      </c:pt>
                      <c:pt idx="18">
                        <c:v>8</c:v>
                      </c:pt>
                      <c:pt idx="19">
                        <c:v>8</c:v>
                      </c:pt>
                      <c:pt idx="20">
                        <c:v>8</c:v>
                      </c:pt>
                      <c:pt idx="21">
                        <c:v>8</c:v>
                      </c:pt>
                      <c:pt idx="22">
                        <c:v>8</c:v>
                      </c:pt>
                      <c:pt idx="23">
                        <c:v>8</c:v>
                      </c:pt>
                      <c:pt idx="24">
                        <c:v>8</c:v>
                      </c:pt>
                      <c:pt idx="25">
                        <c:v>8</c:v>
                      </c:pt>
                      <c:pt idx="26">
                        <c:v>8</c:v>
                      </c:pt>
                      <c:pt idx="27">
                        <c:v>8</c:v>
                      </c:pt>
                      <c:pt idx="28">
                        <c:v>8</c:v>
                      </c:pt>
                      <c:pt idx="29">
                        <c:v>8</c:v>
                      </c:pt>
                      <c:pt idx="30">
                        <c:v>8</c:v>
                      </c:pt>
                      <c:pt idx="31">
                        <c:v>8</c:v>
                      </c:pt>
                      <c:pt idx="32">
                        <c:v>8</c:v>
                      </c:pt>
                      <c:pt idx="33">
                        <c:v>8</c:v>
                      </c:pt>
                      <c:pt idx="34">
                        <c:v>8</c:v>
                      </c:pt>
                      <c:pt idx="35">
                        <c:v>8</c:v>
                      </c:pt>
                      <c:pt idx="36">
                        <c:v>8</c:v>
                      </c:pt>
                      <c:pt idx="37">
                        <c:v>8</c:v>
                      </c:pt>
                      <c:pt idx="38">
                        <c:v>8</c:v>
                      </c:pt>
                      <c:pt idx="39">
                        <c:v>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43F5-4B9A-9C01-DB0DDFB5323D}"/>
                  </c:ext>
                </c:extLst>
              </c15:ser>
            </c15:filteredLineSeries>
          </c:ext>
        </c:extLst>
      </c:lineChart>
      <c:catAx>
        <c:axId val="747331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CO"/>
          </a:p>
        </c:txPr>
        <c:crossAx val="747338687"/>
        <c:crosses val="autoZero"/>
        <c:auto val="1"/>
        <c:lblAlgn val="ctr"/>
        <c:lblOffset val="100"/>
        <c:noMultiLvlLbl val="0"/>
      </c:catAx>
      <c:valAx>
        <c:axId val="747338687"/>
        <c:scaling>
          <c:orientation val="minMax"/>
          <c:min val="0"/>
        </c:scaling>
        <c:delete val="1"/>
        <c:axPos val="l"/>
        <c:numFmt formatCode="_(* #,##0_);_(* \(#,##0\);_(* &quot;-&quot;_);_(@_)" sourceLinked="1"/>
        <c:majorTickMark val="none"/>
        <c:minorTickMark val="none"/>
        <c:tickLblPos val="nextTo"/>
        <c:crossAx val="747331615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CO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legendEntry>
        <c:idx val="6"/>
        <c:delete val="1"/>
      </c:legendEntry>
      <c:layout>
        <c:manualLayout>
          <c:xMode val="edge"/>
          <c:yMode val="edge"/>
          <c:x val="6.3258745650880507E-2"/>
          <c:y val="0.81515889787083207"/>
          <c:w val="0.58786992369155378"/>
          <c:h val="3.44154742161275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CO" b="1"/>
              <a:t>Perfil de vencimientos de deuda (% del total de deuda)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3.3583811690558615E-2"/>
          <c:y val="9.8330042243379961E-2"/>
          <c:w val="0.95350403921660809"/>
          <c:h val="0.66556364796748824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'PV Enero 2026'!$U$6</c:f>
              <c:strCache>
                <c:ptCount val="1"/>
                <c:pt idx="0">
                  <c:v>TES pesos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'PV Enero 2026'!$A$8:$A$45</c:f>
              <c:numCache>
                <c:formatCode>General</c:formatCode>
                <c:ptCount val="38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Enero 2026'!$U$8:$U$46</c:f>
              <c:numCache>
                <c:formatCode>_(* #,##0_);_(* \(#,##0\);_(* "-"_);_(@_)</c:formatCode>
                <c:ptCount val="39"/>
                <c:pt idx="0">
                  <c:v>0.84272891440587827</c:v>
                </c:pt>
                <c:pt idx="1">
                  <c:v>1.8509927757041993</c:v>
                </c:pt>
                <c:pt idx="2">
                  <c:v>3.2917302452406263</c:v>
                </c:pt>
                <c:pt idx="3">
                  <c:v>4.1808814280031203</c:v>
                </c:pt>
                <c:pt idx="4">
                  <c:v>3.0623446164692787</c:v>
                </c:pt>
                <c:pt idx="5">
                  <c:v>3.3666368241297588</c:v>
                </c:pt>
                <c:pt idx="6">
                  <c:v>2.6411038927630095</c:v>
                </c:pt>
                <c:pt idx="7">
                  <c:v>5.0021092939830929</c:v>
                </c:pt>
                <c:pt idx="8">
                  <c:v>1.5070830061492813</c:v>
                </c:pt>
                <c:pt idx="9">
                  <c:v>2.4547659798313473</c:v>
                </c:pt>
                <c:pt idx="10">
                  <c:v>1.8768474589950919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2.3544980835151752</c:v>
                </c:pt>
                <c:pt idx="15">
                  <c:v>0</c:v>
                </c:pt>
                <c:pt idx="16">
                  <c:v>4.4952301220993558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3.4128237401980517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2.1014987145911914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1.0067204650901742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24-4179-A4B4-C6BBA4AD646F}"/>
            </c:ext>
          </c:extLst>
        </c:ser>
        <c:ser>
          <c:idx val="2"/>
          <c:order val="2"/>
          <c:tx>
            <c:strRef>
              <c:f>'PV Enero 2026'!$V$6</c:f>
              <c:strCache>
                <c:ptCount val="1"/>
                <c:pt idx="0">
                  <c:v>TES UVR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'PV Enero 2026'!$A$8:$A$45</c:f>
              <c:numCache>
                <c:formatCode>General</c:formatCode>
                <c:ptCount val="38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Enero 2026'!$V$8:$V$45</c:f>
              <c:numCache>
                <c:formatCode>_(* #,##0_);_(* \(#,##0\);_(* "-"_);_(@_)</c:formatCode>
                <c:ptCount val="38"/>
                <c:pt idx="0">
                  <c:v>0</c:v>
                </c:pt>
                <c:pt idx="1">
                  <c:v>1.887896040088904</c:v>
                </c:pt>
                <c:pt idx="2">
                  <c:v>0</c:v>
                </c:pt>
                <c:pt idx="3">
                  <c:v>1.4185809107998735</c:v>
                </c:pt>
                <c:pt idx="4">
                  <c:v>0</c:v>
                </c:pt>
                <c:pt idx="5">
                  <c:v>2.0668116706476329</c:v>
                </c:pt>
                <c:pt idx="6">
                  <c:v>0</c:v>
                </c:pt>
                <c:pt idx="7">
                  <c:v>1.3727150612474255</c:v>
                </c:pt>
                <c:pt idx="8">
                  <c:v>0</c:v>
                </c:pt>
                <c:pt idx="9">
                  <c:v>2.910923790514921</c:v>
                </c:pt>
                <c:pt idx="10">
                  <c:v>0</c:v>
                </c:pt>
                <c:pt idx="11">
                  <c:v>4.2235359333397362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0.65596238326744949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3.0688326599993192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0.99661855633301055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1.9575061740519106</c:v>
                </c:pt>
                <c:pt idx="3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24-4179-A4B4-C6BBA4AD646F}"/>
            </c:ext>
          </c:extLst>
        </c:ser>
        <c:ser>
          <c:idx val="3"/>
          <c:order val="3"/>
          <c:tx>
            <c:strRef>
              <c:f>'PV Enero 2026'!$W$6</c:f>
              <c:strCache>
                <c:ptCount val="1"/>
                <c:pt idx="0">
                  <c:v>Otros Interna*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'PV Enero 2026'!$A$8:$A$45</c:f>
              <c:numCache>
                <c:formatCode>General</c:formatCode>
                <c:ptCount val="38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Enero 2026'!$W$8:$W$46</c:f>
              <c:numCache>
                <c:formatCode>_(* #,##0_);_(* \(#,##0\);_(* "-"_);_(@_)</c:formatCode>
                <c:ptCount val="39"/>
                <c:pt idx="0">
                  <c:v>6.0082066073326463E-3</c:v>
                </c:pt>
                <c:pt idx="1">
                  <c:v>-3.562019974037024E-16</c:v>
                </c:pt>
                <c:pt idx="2">
                  <c:v>0</c:v>
                </c:pt>
                <c:pt idx="3">
                  <c:v>0.93153868494963099</c:v>
                </c:pt>
                <c:pt idx="4">
                  <c:v>0.17376353506839906</c:v>
                </c:pt>
                <c:pt idx="5">
                  <c:v>0</c:v>
                </c:pt>
                <c:pt idx="6">
                  <c:v>3.9681156838998588E-8</c:v>
                </c:pt>
                <c:pt idx="7">
                  <c:v>6.3633276994599733E-7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24-4179-A4B4-C6BBA4AD646F}"/>
            </c:ext>
          </c:extLst>
        </c:ser>
        <c:ser>
          <c:idx val="4"/>
          <c:order val="4"/>
          <c:tx>
            <c:strRef>
              <c:f>'PV Enero 2026'!$X$6</c:f>
              <c:strCache>
                <c:ptCount val="1"/>
                <c:pt idx="0">
                  <c:v>Bonos Externos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'PV Enero 2026'!$A$8:$A$45</c:f>
              <c:numCache>
                <c:formatCode>General</c:formatCode>
                <c:ptCount val="38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Enero 2026'!$X$8:$X$45</c:f>
              <c:numCache>
                <c:formatCode>_(* #,##0_);_(* \(#,##0\);_(* "-"_);_(@_)</c:formatCode>
                <c:ptCount val="38"/>
                <c:pt idx="0">
                  <c:v>0.15005091375987362</c:v>
                </c:pt>
                <c:pt idx="1">
                  <c:v>0.66784983004959009</c:v>
                </c:pt>
                <c:pt idx="2">
                  <c:v>0.60871244467169028</c:v>
                </c:pt>
                <c:pt idx="3">
                  <c:v>1.4038409258926678</c:v>
                </c:pt>
                <c:pt idx="4">
                  <c:v>1.4171310879380938</c:v>
                </c:pt>
                <c:pt idx="5">
                  <c:v>1.4090884832736548</c:v>
                </c:pt>
                <c:pt idx="6">
                  <c:v>1.3074005638861563</c:v>
                </c:pt>
                <c:pt idx="7">
                  <c:v>1.151983440741968</c:v>
                </c:pt>
                <c:pt idx="8">
                  <c:v>1.0644132476257091</c:v>
                </c:pt>
                <c:pt idx="9">
                  <c:v>0.78743157238453965</c:v>
                </c:pt>
                <c:pt idx="10">
                  <c:v>1.2030074430344631</c:v>
                </c:pt>
                <c:pt idx="11">
                  <c:v>0.63818608491080686</c:v>
                </c:pt>
                <c:pt idx="12">
                  <c:v>0.33405798672541925</c:v>
                </c:pt>
                <c:pt idx="13">
                  <c:v>0</c:v>
                </c:pt>
                <c:pt idx="14">
                  <c:v>0</c:v>
                </c:pt>
                <c:pt idx="15">
                  <c:v>0.87740057868291743</c:v>
                </c:pt>
                <c:pt idx="16">
                  <c:v>0.18058518326359221</c:v>
                </c:pt>
                <c:pt idx="17">
                  <c:v>0</c:v>
                </c:pt>
                <c:pt idx="18">
                  <c:v>0.87740057868291743</c:v>
                </c:pt>
                <c:pt idx="19">
                  <c:v>1.2883567598059593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0.76105129562562768</c:v>
                </c:pt>
                <c:pt idx="24">
                  <c:v>0</c:v>
                </c:pt>
                <c:pt idx="25">
                  <c:v>0.36349863670277738</c:v>
                </c:pt>
                <c:pt idx="26">
                  <c:v>0</c:v>
                </c:pt>
                <c:pt idx="27">
                  <c:v>0.29669300568162854</c:v>
                </c:pt>
                <c:pt idx="28">
                  <c:v>0.5755747796159939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0.26386418562962849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24-4179-A4B4-C6BBA4AD646F}"/>
            </c:ext>
          </c:extLst>
        </c:ser>
        <c:ser>
          <c:idx val="5"/>
          <c:order val="5"/>
          <c:tx>
            <c:strRef>
              <c:f>'PV Enero 2026'!$Z$6</c:f>
              <c:strCache>
                <c:ptCount val="1"/>
                <c:pt idx="0">
                  <c:v>Multilaterales**</c:v>
                </c:pt>
              </c:strCache>
            </c:strRef>
          </c:tx>
          <c:spPr>
            <a:solidFill>
              <a:srgbClr val="FFD3A7"/>
            </a:solidFill>
            <a:ln>
              <a:noFill/>
            </a:ln>
            <a:effectLst/>
          </c:spPr>
          <c:invertIfNegative val="0"/>
          <c:cat>
            <c:numRef>
              <c:f>'PV Enero 2026'!$A$8:$A$45</c:f>
              <c:numCache>
                <c:formatCode>General</c:formatCode>
                <c:ptCount val="38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Enero 2026'!$Z$8:$Z$46</c:f>
              <c:numCache>
                <c:formatCode>_(* #,##0_);_(* \(#,##0\);_(* "-"_);_(@_)</c:formatCode>
                <c:ptCount val="39"/>
                <c:pt idx="0">
                  <c:v>0.60112159071357329</c:v>
                </c:pt>
                <c:pt idx="1">
                  <c:v>0.87864478240166966</c:v>
                </c:pt>
                <c:pt idx="2">
                  <c:v>1.2630295823017352</c:v>
                </c:pt>
                <c:pt idx="3">
                  <c:v>1.0453207434866756</c:v>
                </c:pt>
                <c:pt idx="4">
                  <c:v>1.0411261488521335</c:v>
                </c:pt>
                <c:pt idx="5">
                  <c:v>1.2467102618497203</c:v>
                </c:pt>
                <c:pt idx="6">
                  <c:v>0.82108006431391067</c:v>
                </c:pt>
                <c:pt idx="7">
                  <c:v>0.84697360451258707</c:v>
                </c:pt>
                <c:pt idx="8">
                  <c:v>0.76071020049922988</c:v>
                </c:pt>
                <c:pt idx="9">
                  <c:v>0.88852345356587037</c:v>
                </c:pt>
                <c:pt idx="10">
                  <c:v>1.3070695480784746</c:v>
                </c:pt>
                <c:pt idx="11">
                  <c:v>0.4500491883757114</c:v>
                </c:pt>
                <c:pt idx="12">
                  <c:v>0.88866293683442998</c:v>
                </c:pt>
                <c:pt idx="13">
                  <c:v>0.5152119050510886</c:v>
                </c:pt>
                <c:pt idx="14">
                  <c:v>0.57303464214776112</c:v>
                </c:pt>
                <c:pt idx="15">
                  <c:v>0.18566219595634678</c:v>
                </c:pt>
                <c:pt idx="16">
                  <c:v>0.11795081606520352</c:v>
                </c:pt>
                <c:pt idx="17">
                  <c:v>4.9668521026614357E-2</c:v>
                </c:pt>
                <c:pt idx="18">
                  <c:v>3.5158107075354959E-2</c:v>
                </c:pt>
                <c:pt idx="19">
                  <c:v>3.1931950011332963E-2</c:v>
                </c:pt>
                <c:pt idx="20">
                  <c:v>2.9722201097315281E-2</c:v>
                </c:pt>
                <c:pt idx="21">
                  <c:v>2.7725141168089967E-2</c:v>
                </c:pt>
                <c:pt idx="22">
                  <c:v>2.7516329951611213E-2</c:v>
                </c:pt>
                <c:pt idx="23">
                  <c:v>2.6835998148999077E-2</c:v>
                </c:pt>
                <c:pt idx="24">
                  <c:v>2.286661610199205E-2</c:v>
                </c:pt>
                <c:pt idx="25">
                  <c:v>1.7127768725905403E-2</c:v>
                </c:pt>
                <c:pt idx="26">
                  <c:v>1.7127768725905441E-2</c:v>
                </c:pt>
                <c:pt idx="27">
                  <c:v>1.7127768725905445E-2</c:v>
                </c:pt>
                <c:pt idx="28">
                  <c:v>1.7127768725905403E-2</c:v>
                </c:pt>
                <c:pt idx="29">
                  <c:v>1.7127768725905441E-2</c:v>
                </c:pt>
                <c:pt idx="30">
                  <c:v>1.7127768725905441E-2</c:v>
                </c:pt>
                <c:pt idx="31">
                  <c:v>1.7127768725905441E-2</c:v>
                </c:pt>
                <c:pt idx="32">
                  <c:v>1.7127768725905441E-2</c:v>
                </c:pt>
                <c:pt idx="33">
                  <c:v>1.2591296855267751E-2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24-4179-A4B4-C6BBA4AD646F}"/>
            </c:ext>
          </c:extLst>
        </c:ser>
        <c:ser>
          <c:idx val="7"/>
          <c:order val="7"/>
          <c:tx>
            <c:strRef>
              <c:f>'PV Enero 2026'!$Y$6</c:f>
              <c:strCache>
                <c:ptCount val="1"/>
                <c:pt idx="0">
                  <c:v>TRS</c:v>
                </c:pt>
              </c:strCache>
            </c:strRef>
          </c:tx>
          <c:spPr>
            <a:solidFill>
              <a:schemeClr val="bg2"/>
            </a:solidFill>
            <a:ln w="25400">
              <a:noFill/>
            </a:ln>
            <a:effectLst/>
          </c:spPr>
          <c:invertIfNegative val="0"/>
          <c:cat>
            <c:numRef>
              <c:f>'PV Enero 2026'!$A$8:$A$44</c:f>
              <c:numCache>
                <c:formatCode>General</c:formatCode>
                <c:ptCount val="3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Enero 2026'!$Y$8:$Y$47</c:f>
              <c:numCache>
                <c:formatCode>_(* #,##0_);_(* \(#,##0\);_(* "-"_);_(@_)</c:formatCode>
                <c:ptCount val="40"/>
                <c:pt idx="0">
                  <c:v>3.4218111510662945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D3-4468-8B78-79427D430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7"/>
        <c:overlap val="100"/>
        <c:axId val="747331615"/>
        <c:axId val="747338687"/>
      </c:barChart>
      <c:lineChart>
        <c:grouping val="standard"/>
        <c:varyColors val="0"/>
        <c:ser>
          <c:idx val="0"/>
          <c:order val="0"/>
          <c:tx>
            <c:strRef>
              <c:f>'[6]PV Agosto 2024'!$X$6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'PV Enero 2026'!$A$8:$A$44</c:f>
              <c:numCache>
                <c:formatCode>General</c:formatCode>
                <c:ptCount val="3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Enero 2026'!$AA$8:$AA$45</c:f>
              <c:numCache>
                <c:formatCode>_(* #,##0.0_);_(* \(#,##0.0\);_(* "-"_);_(@_)</c:formatCode>
                <c:ptCount val="38"/>
                <c:pt idx="0">
                  <c:v>5.0217207765529519</c:v>
                </c:pt>
                <c:pt idx="1">
                  <c:v>5.2853834282443621</c:v>
                </c:pt>
                <c:pt idx="2">
                  <c:v>5.1634722722140518</c:v>
                </c:pt>
                <c:pt idx="3">
                  <c:v>8.9801626931319678</c:v>
                </c:pt>
                <c:pt idx="4">
                  <c:v>5.6943653883279053</c:v>
                </c:pt>
                <c:pt idx="5">
                  <c:v>8.0892472399007662</c:v>
                </c:pt>
                <c:pt idx="6">
                  <c:v>4.7695845606442333</c:v>
                </c:pt>
                <c:pt idx="7">
                  <c:v>8.3737820368178433</c:v>
                </c:pt>
                <c:pt idx="8">
                  <c:v>3.3322064542742202</c:v>
                </c:pt>
                <c:pt idx="9">
                  <c:v>7.0416447962966782</c:v>
                </c:pt>
                <c:pt idx="10">
                  <c:v>4.3869244501080296</c:v>
                </c:pt>
                <c:pt idx="11">
                  <c:v>5.3117712066262541</c:v>
                </c:pt>
                <c:pt idx="12">
                  <c:v>1.2227209235598493</c:v>
                </c:pt>
                <c:pt idx="13">
                  <c:v>0.5152119050510886</c:v>
                </c:pt>
                <c:pt idx="14">
                  <c:v>2.9275327256629362</c:v>
                </c:pt>
                <c:pt idx="15">
                  <c:v>1.7190251579067135</c:v>
                </c:pt>
                <c:pt idx="16">
                  <c:v>4.7937661214281517</c:v>
                </c:pt>
                <c:pt idx="17">
                  <c:v>4.9668521026614357E-2</c:v>
                </c:pt>
                <c:pt idx="18">
                  <c:v>0.91255868575827237</c:v>
                </c:pt>
                <c:pt idx="19">
                  <c:v>1.3202887098172922</c:v>
                </c:pt>
                <c:pt idx="20">
                  <c:v>3.442545941295367</c:v>
                </c:pt>
                <c:pt idx="21">
                  <c:v>2.7725141168089967E-2</c:v>
                </c:pt>
                <c:pt idx="22">
                  <c:v>2.7516329951611213E-2</c:v>
                </c:pt>
                <c:pt idx="23">
                  <c:v>3.8567199537739461</c:v>
                </c:pt>
                <c:pt idx="24">
                  <c:v>2.1243653306931836</c:v>
                </c:pt>
                <c:pt idx="25">
                  <c:v>0.38062640542868276</c:v>
                </c:pt>
                <c:pt idx="26">
                  <c:v>1.7127768725905441E-2</c:v>
                </c:pt>
                <c:pt idx="27">
                  <c:v>0.31382077440753398</c:v>
                </c:pt>
                <c:pt idx="28">
                  <c:v>0.59270254834189928</c:v>
                </c:pt>
                <c:pt idx="29">
                  <c:v>1.013746325058916</c:v>
                </c:pt>
                <c:pt idx="30">
                  <c:v>1.7127768725905441E-2</c:v>
                </c:pt>
                <c:pt idx="31">
                  <c:v>1.7127768725905441E-2</c:v>
                </c:pt>
                <c:pt idx="32">
                  <c:v>1.0238482338160797</c:v>
                </c:pt>
                <c:pt idx="33">
                  <c:v>1.2591296855267751E-2</c:v>
                </c:pt>
                <c:pt idx="34">
                  <c:v>0</c:v>
                </c:pt>
                <c:pt idx="35">
                  <c:v>0.26386418562962849</c:v>
                </c:pt>
                <c:pt idx="36">
                  <c:v>1.9575061740519106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B24-4179-A4B4-C6BBA4AD646F}"/>
            </c:ext>
          </c:extLst>
        </c:ser>
        <c:ser>
          <c:idx val="6"/>
          <c:order val="6"/>
          <c:tx>
            <c:strRef>
              <c:f>'PV Enero 2026'!$AB$6</c:f>
              <c:strCache>
                <c:ptCount val="1"/>
                <c:pt idx="0">
                  <c:v>Lineamiento prudencial EGDMP</c:v>
                </c:pt>
              </c:strCache>
            </c:strRef>
          </c:tx>
          <c:spPr>
            <a:ln w="28575" cap="rnd">
              <a:solidFill>
                <a:schemeClr val="tx1">
                  <a:lumMod val="50000"/>
                  <a:lumOff val="5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'PV Enero 2026'!$A$8:$A$44</c:f>
              <c:numCache>
                <c:formatCode>General</c:formatCode>
                <c:ptCount val="3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Enero 2026'!$AB$8:$AB$44</c:f>
              <c:numCache>
                <c:formatCode>General</c:formatCode>
                <c:ptCount val="37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EB24-4179-A4B4-C6BBA4AD6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331615"/>
        <c:axId val="747338687"/>
      </c:lineChart>
      <c:catAx>
        <c:axId val="747331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CO"/>
          </a:p>
        </c:txPr>
        <c:crossAx val="747338687"/>
        <c:crossesAt val="0"/>
        <c:auto val="1"/>
        <c:lblAlgn val="ctr"/>
        <c:lblOffset val="100"/>
        <c:noMultiLvlLbl val="0"/>
      </c:catAx>
      <c:valAx>
        <c:axId val="747338687"/>
        <c:scaling>
          <c:orientation val="minMax"/>
          <c:min val="0"/>
        </c:scaling>
        <c:delete val="1"/>
        <c:axPos val="l"/>
        <c:numFmt formatCode="_(* #,##0_);_(* \(#,##0\);_(* &quot;-&quot;_);_(@_)" sourceLinked="0"/>
        <c:majorTickMark val="none"/>
        <c:minorTickMark val="none"/>
        <c:tickLblPos val="nextTo"/>
        <c:crossAx val="7473316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6"/>
        <c:delete val="1"/>
      </c:legendEntry>
      <c:layout>
        <c:manualLayout>
          <c:xMode val="edge"/>
          <c:yMode val="edge"/>
          <c:x val="6.3258729457599264E-2"/>
          <c:y val="0.82563091521667076"/>
          <c:w val="0.8999999506381744"/>
          <c:h val="3.45612343595971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CO" b="1"/>
              <a:t>Perfil de vencimientos de deuda (COP</a:t>
            </a:r>
            <a:r>
              <a:rPr lang="es-CO" b="1" baseline="0"/>
              <a:t> billones</a:t>
            </a:r>
            <a:r>
              <a:rPr lang="es-CO" b="1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3.2756693909492159E-2"/>
          <c:y val="7.8585040748624199E-2"/>
          <c:w val="0.95350403921660809"/>
          <c:h val="0.66556364796748824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'PV Marzo 2026'!$U$6</c:f>
              <c:strCache>
                <c:ptCount val="1"/>
                <c:pt idx="0">
                  <c:v>TES pesos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'PV Marzo 2026'!$A$8:$A$48</c:f>
              <c:numCache>
                <c:formatCode>General</c:formatCode>
                <c:ptCount val="41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Marzo 2026'!$N$8:$N$48</c:f>
              <c:numCache>
                <c:formatCode>_(* #,##0_);_(* \(#,##0\);_(* "-"_);_(@_)</c:formatCode>
                <c:ptCount val="41"/>
                <c:pt idx="0">
                  <c:v>5437275.2999999998</c:v>
                </c:pt>
                <c:pt idx="1">
                  <c:v>21695857</c:v>
                </c:pt>
                <c:pt idx="2">
                  <c:v>37205100.200000003</c:v>
                </c:pt>
                <c:pt idx="3">
                  <c:v>41804513</c:v>
                </c:pt>
                <c:pt idx="4">
                  <c:v>39932208.799999997</c:v>
                </c:pt>
                <c:pt idx="5">
                  <c:v>35209514.799999997</c:v>
                </c:pt>
                <c:pt idx="6">
                  <c:v>27621627</c:v>
                </c:pt>
                <c:pt idx="7">
                  <c:v>51956725.200000003</c:v>
                </c:pt>
                <c:pt idx="8">
                  <c:v>15721623.300000001</c:v>
                </c:pt>
                <c:pt idx="9">
                  <c:v>37230595.399999999</c:v>
                </c:pt>
                <c:pt idx="10">
                  <c:v>19600254.699999999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22881302.399999999</c:v>
                </c:pt>
                <c:pt idx="15">
                  <c:v>0</c:v>
                </c:pt>
                <c:pt idx="16">
                  <c:v>47117754.799999997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38492554.399999999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21893239.399999999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10528649.5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DC-4E02-91B4-1099EDC3DE82}"/>
            </c:ext>
          </c:extLst>
        </c:ser>
        <c:ser>
          <c:idx val="2"/>
          <c:order val="2"/>
          <c:tx>
            <c:strRef>
              <c:f>'PV Marzo 2026'!$V$6</c:f>
              <c:strCache>
                <c:ptCount val="1"/>
                <c:pt idx="0">
                  <c:v>TES UVR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'PV Marzo 2026'!$A$8:$A$48</c:f>
              <c:numCache>
                <c:formatCode>General</c:formatCode>
                <c:ptCount val="41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Marzo 2026'!$O$8:$O$48</c:f>
              <c:numCache>
                <c:formatCode>_(* #,##0_);_(* \(#,##0\);_(* "-"_);_(@_)</c:formatCode>
                <c:ptCount val="41"/>
                <c:pt idx="0">
                  <c:v>0</c:v>
                </c:pt>
                <c:pt idx="1">
                  <c:v>20114582.717459999</c:v>
                </c:pt>
                <c:pt idx="2">
                  <c:v>0</c:v>
                </c:pt>
                <c:pt idx="3">
                  <c:v>15114266.0749212</c:v>
                </c:pt>
                <c:pt idx="4">
                  <c:v>0</c:v>
                </c:pt>
                <c:pt idx="5">
                  <c:v>22849483.004682399</c:v>
                </c:pt>
                <c:pt idx="6">
                  <c:v>0</c:v>
                </c:pt>
                <c:pt idx="7">
                  <c:v>14625588.517927201</c:v>
                </c:pt>
                <c:pt idx="8">
                  <c:v>0</c:v>
                </c:pt>
                <c:pt idx="9">
                  <c:v>31014428.827223603</c:v>
                </c:pt>
                <c:pt idx="10">
                  <c:v>0</c:v>
                </c:pt>
                <c:pt idx="11">
                  <c:v>44999650.980424799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7410046.2822980005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32696868.405260399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10939379.465762001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22967601.6109672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DC-4E02-91B4-1099EDC3DE82}"/>
            </c:ext>
          </c:extLst>
        </c:ser>
        <c:ser>
          <c:idx val="3"/>
          <c:order val="3"/>
          <c:tx>
            <c:strRef>
              <c:f>'PV Febrero 2026'!$W$6</c:f>
              <c:strCache>
                <c:ptCount val="1"/>
                <c:pt idx="0">
                  <c:v>Otros Interna*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'PV Marzo 2026'!$A$8:$A$48</c:f>
              <c:numCache>
                <c:formatCode>General</c:formatCode>
                <c:ptCount val="41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Febrero 2026'!$P$8:$P$48</c:f>
              <c:numCache>
                <c:formatCode>_(* #,##0_);_(* \(#,##0\);_(* "-"_);_(@_)</c:formatCode>
                <c:ptCount val="41"/>
                <c:pt idx="0">
                  <c:v>40868.13601802662</c:v>
                </c:pt>
                <c:pt idx="1">
                  <c:v>0</c:v>
                </c:pt>
                <c:pt idx="2">
                  <c:v>0</c:v>
                </c:pt>
                <c:pt idx="3">
                  <c:v>9742371.0450219978</c:v>
                </c:pt>
                <c:pt idx="4">
                  <c:v>1817070.8208655044</c:v>
                </c:pt>
                <c:pt idx="5">
                  <c:v>0</c:v>
                </c:pt>
                <c:pt idx="6">
                  <c:v>0.41499999910593033</c:v>
                </c:pt>
                <c:pt idx="7">
                  <c:v>6.6550000067800283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DC-4E02-91B4-1099EDC3DE82}"/>
            </c:ext>
          </c:extLst>
        </c:ser>
        <c:ser>
          <c:idx val="4"/>
          <c:order val="4"/>
          <c:tx>
            <c:strRef>
              <c:f>'PV Marzo 2026'!$X$6</c:f>
              <c:strCache>
                <c:ptCount val="1"/>
                <c:pt idx="0">
                  <c:v>Bonos Externos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'PV Marzo 2026'!$A$8:$A$48</c:f>
              <c:numCache>
                <c:formatCode>General</c:formatCode>
                <c:ptCount val="41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Marzo 2026'!$Q$8:$Q$48</c:f>
              <c:numCache>
                <c:formatCode>_(* #,##0_);_(* \(#,##0\);_(* "-"_);_(@_)</c:formatCode>
                <c:ptCount val="41"/>
                <c:pt idx="0">
                  <c:v>0</c:v>
                </c:pt>
                <c:pt idx="1">
                  <c:v>6983691.5426804107</c:v>
                </c:pt>
                <c:pt idx="2">
                  <c:v>6165697.9483024469</c:v>
                </c:pt>
                <c:pt idx="3">
                  <c:v>14679840.000265451</c:v>
                </c:pt>
                <c:pt idx="4">
                  <c:v>14750002.295543602</c:v>
                </c:pt>
                <c:pt idx="5">
                  <c:v>14734713.242186444</c:v>
                </c:pt>
                <c:pt idx="6">
                  <c:v>13471817.61683456</c:v>
                </c:pt>
                <c:pt idx="7">
                  <c:v>12046188.625177829</c:v>
                </c:pt>
                <c:pt idx="8">
                  <c:v>11034138.435795162</c:v>
                </c:pt>
                <c:pt idx="9">
                  <c:v>8234102.0841888944</c:v>
                </c:pt>
                <c:pt idx="10">
                  <c:v>12414593.889817003</c:v>
                </c:pt>
                <c:pt idx="11">
                  <c:v>6673455.2641206747</c:v>
                </c:pt>
                <c:pt idx="12">
                  <c:v>3383115.9264561855</c:v>
                </c:pt>
                <c:pt idx="13">
                  <c:v>0</c:v>
                </c:pt>
                <c:pt idx="14">
                  <c:v>0</c:v>
                </c:pt>
                <c:pt idx="15">
                  <c:v>9174900.0001659058</c:v>
                </c:pt>
                <c:pt idx="16">
                  <c:v>1888363.2381941469</c:v>
                </c:pt>
                <c:pt idx="17">
                  <c:v>0</c:v>
                </c:pt>
                <c:pt idx="18">
                  <c:v>9174900.0001659058</c:v>
                </c:pt>
                <c:pt idx="19">
                  <c:v>13472232.322323613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7958245.8708239067</c:v>
                </c:pt>
                <c:pt idx="24">
                  <c:v>0</c:v>
                </c:pt>
                <c:pt idx="25">
                  <c:v>3801072.991028734</c:v>
                </c:pt>
                <c:pt idx="26">
                  <c:v>0</c:v>
                </c:pt>
                <c:pt idx="27">
                  <c:v>3102492.4350561015</c:v>
                </c:pt>
                <c:pt idx="28">
                  <c:v>6018734.4001088347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2759204.3766498938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DC-4E02-91B4-1099EDC3DE82}"/>
            </c:ext>
          </c:extLst>
        </c:ser>
        <c:ser>
          <c:idx val="5"/>
          <c:order val="5"/>
          <c:tx>
            <c:strRef>
              <c:f>'PV Marzo 2026'!$Z$6</c:f>
              <c:strCache>
                <c:ptCount val="1"/>
                <c:pt idx="0">
                  <c:v>Multilaterales**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'PV Marzo 2026'!$A$8:$A$48</c:f>
              <c:numCache>
                <c:formatCode>General</c:formatCode>
                <c:ptCount val="41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Marzo 2026'!$S$8:$S$48</c:f>
              <c:numCache>
                <c:formatCode>_(* #,##0_);_(* \(#,##0\);_(* "-"_);_(@_)</c:formatCode>
                <c:ptCount val="41"/>
                <c:pt idx="0">
                  <c:v>4285751.2410124</c:v>
                </c:pt>
                <c:pt idx="1">
                  <c:v>9279059.3322160393</c:v>
                </c:pt>
                <c:pt idx="2">
                  <c:v>13011929.923916876</c:v>
                </c:pt>
                <c:pt idx="3">
                  <c:v>10752396.266536256</c:v>
                </c:pt>
                <c:pt idx="4">
                  <c:v>10669329.736319531</c:v>
                </c:pt>
                <c:pt idx="5">
                  <c:v>12824849.334994094</c:v>
                </c:pt>
                <c:pt idx="6">
                  <c:v>8443915.4113011956</c:v>
                </c:pt>
                <c:pt idx="7">
                  <c:v>8584942.0752076246</c:v>
                </c:pt>
                <c:pt idx="8">
                  <c:v>7824762.1525878217</c:v>
                </c:pt>
                <c:pt idx="9">
                  <c:v>9057766.2267794758</c:v>
                </c:pt>
                <c:pt idx="10">
                  <c:v>13378785.850885667</c:v>
                </c:pt>
                <c:pt idx="11">
                  <c:v>4597810.626189894</c:v>
                </c:pt>
                <c:pt idx="12">
                  <c:v>9195423.7936152648</c:v>
                </c:pt>
                <c:pt idx="13">
                  <c:v>5297262.2385148164</c:v>
                </c:pt>
                <c:pt idx="14">
                  <c:v>5910574.673529706</c:v>
                </c:pt>
                <c:pt idx="15">
                  <c:v>1878798.177786408</c:v>
                </c:pt>
                <c:pt idx="16">
                  <c:v>1194005.6194690715</c:v>
                </c:pt>
                <c:pt idx="17">
                  <c:v>506453.3401822524</c:v>
                </c:pt>
                <c:pt idx="18">
                  <c:v>359076.16471594659</c:v>
                </c:pt>
                <c:pt idx="19">
                  <c:v>325032.7612897525</c:v>
                </c:pt>
                <c:pt idx="20">
                  <c:v>302157.8979416209</c:v>
                </c:pt>
                <c:pt idx="21">
                  <c:v>281274.81945940078</c:v>
                </c:pt>
                <c:pt idx="22">
                  <c:v>279032.88613009691</c:v>
                </c:pt>
                <c:pt idx="23">
                  <c:v>272109.49423485069</c:v>
                </c:pt>
                <c:pt idx="24">
                  <c:v>222526.1338457333</c:v>
                </c:pt>
                <c:pt idx="25">
                  <c:v>175147.48197564424</c:v>
                </c:pt>
                <c:pt idx="26">
                  <c:v>175147.48197564433</c:v>
                </c:pt>
                <c:pt idx="27">
                  <c:v>175147.48197564424</c:v>
                </c:pt>
                <c:pt idx="28">
                  <c:v>175147.48197564424</c:v>
                </c:pt>
                <c:pt idx="29">
                  <c:v>175147.48197564433</c:v>
                </c:pt>
                <c:pt idx="30">
                  <c:v>175147.48197564433</c:v>
                </c:pt>
                <c:pt idx="31">
                  <c:v>175147.48197564433</c:v>
                </c:pt>
                <c:pt idx="32">
                  <c:v>175147.48197564433</c:v>
                </c:pt>
                <c:pt idx="33">
                  <c:v>129688.03607055094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DC-4E02-91B4-1099EDC3DE82}"/>
            </c:ext>
          </c:extLst>
        </c:ser>
        <c:ser>
          <c:idx val="7"/>
          <c:order val="7"/>
          <c:tx>
            <c:strRef>
              <c:f>'PV Marzo 2026'!$R$6</c:f>
              <c:strCache>
                <c:ptCount val="1"/>
                <c:pt idx="0">
                  <c:v>TRS</c:v>
                </c:pt>
              </c:strCache>
            </c:strRef>
          </c:tx>
          <c:spPr>
            <a:solidFill>
              <a:schemeClr val="bg2"/>
            </a:solidFill>
            <a:ln w="25400">
              <a:noFill/>
            </a:ln>
            <a:effectLst/>
          </c:spPr>
          <c:invertIfNegative val="0"/>
          <c:cat>
            <c:numRef>
              <c:f>'PV Marzo 2026'!$A$8:$A$48</c:f>
              <c:numCache>
                <c:formatCode>General</c:formatCode>
                <c:ptCount val="41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Marzo 2026'!$R$8:$R$47</c:f>
              <c:numCache>
                <c:formatCode>_(* #,##0_);_(* \(#,##0\);_(* "-"_);_(@_)</c:formatCode>
                <c:ptCount val="40"/>
                <c:pt idx="0">
                  <c:v>27390863.234101187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DC-4E02-91B4-1099EDC3D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overlap val="100"/>
        <c:axId val="747331615"/>
        <c:axId val="747338687"/>
      </c:barChart>
      <c:lineChart>
        <c:grouping val="standard"/>
        <c:varyColors val="0"/>
        <c:ser>
          <c:idx val="0"/>
          <c:order val="0"/>
          <c:tx>
            <c:strRef>
              <c:f>'PV Marzo 2026'!$AA$6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'PV Marzo 2026'!$A$8:$A$44</c:f>
              <c:numCache>
                <c:formatCode>General</c:formatCode>
                <c:ptCount val="3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Marzo 2026'!$T$8:$T$48</c:f>
              <c:numCache>
                <c:formatCode>General</c:formatCode>
                <c:ptCount val="41"/>
                <c:pt idx="0">
                  <c:v>37154757.911131591</c:v>
                </c:pt>
                <c:pt idx="1">
                  <c:v>58073190.592356458</c:v>
                </c:pt>
                <c:pt idx="2">
                  <c:v>56382728.072219327</c:v>
                </c:pt>
                <c:pt idx="3">
                  <c:v>92093385.332722902</c:v>
                </c:pt>
                <c:pt idx="4">
                  <c:v>67168611.652728647</c:v>
                </c:pt>
                <c:pt idx="5">
                  <c:v>85618560.381862938</c:v>
                </c:pt>
                <c:pt idx="6">
                  <c:v>49537360.443135753</c:v>
                </c:pt>
                <c:pt idx="7">
                  <c:v>87213451.073312655</c:v>
                </c:pt>
                <c:pt idx="8">
                  <c:v>34580523.888382986</c:v>
                </c:pt>
                <c:pt idx="9">
                  <c:v>85536892.538191974</c:v>
                </c:pt>
                <c:pt idx="10">
                  <c:v>45393634.440702669</c:v>
                </c:pt>
                <c:pt idx="11">
                  <c:v>56270916.87073537</c:v>
                </c:pt>
                <c:pt idx="12">
                  <c:v>12578539.72007145</c:v>
                </c:pt>
                <c:pt idx="13">
                  <c:v>5297262.2385148164</c:v>
                </c:pt>
                <c:pt idx="14">
                  <c:v>28791877.073529705</c:v>
                </c:pt>
                <c:pt idx="15">
                  <c:v>18463744.460250314</c:v>
                </c:pt>
                <c:pt idx="16">
                  <c:v>50200123.657663211</c:v>
                </c:pt>
                <c:pt idx="17">
                  <c:v>506453.3401822524</c:v>
                </c:pt>
                <c:pt idx="18">
                  <c:v>9533976.1648818515</c:v>
                </c:pt>
                <c:pt idx="19">
                  <c:v>13797265.083613366</c:v>
                </c:pt>
                <c:pt idx="20">
                  <c:v>38794712.297941618</c:v>
                </c:pt>
                <c:pt idx="21">
                  <c:v>281274.81945940078</c:v>
                </c:pt>
                <c:pt idx="22">
                  <c:v>279032.88613009691</c:v>
                </c:pt>
                <c:pt idx="23">
                  <c:v>40927223.770319156</c:v>
                </c:pt>
                <c:pt idx="24">
                  <c:v>22115765.53384573</c:v>
                </c:pt>
                <c:pt idx="25">
                  <c:v>3976220.4730043784</c:v>
                </c:pt>
                <c:pt idx="26">
                  <c:v>175147.48197564433</c:v>
                </c:pt>
                <c:pt idx="27">
                  <c:v>3277639.9170317459</c:v>
                </c:pt>
                <c:pt idx="28">
                  <c:v>6193881.8820844786</c:v>
                </c:pt>
                <c:pt idx="29">
                  <c:v>11114526.947737645</c:v>
                </c:pt>
                <c:pt idx="30">
                  <c:v>175147.48197564433</c:v>
                </c:pt>
                <c:pt idx="31">
                  <c:v>175147.48197564433</c:v>
                </c:pt>
                <c:pt idx="32">
                  <c:v>10703796.981975645</c:v>
                </c:pt>
                <c:pt idx="33">
                  <c:v>129688.03607055094</c:v>
                </c:pt>
                <c:pt idx="34">
                  <c:v>0</c:v>
                </c:pt>
                <c:pt idx="35">
                  <c:v>2759204.3766498938</c:v>
                </c:pt>
                <c:pt idx="36">
                  <c:v>22967601.6109672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0DC-4E02-91B4-1099EDC3D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331615"/>
        <c:axId val="747338687"/>
        <c:extLst>
          <c:ext xmlns:c15="http://schemas.microsoft.com/office/drawing/2012/chart" uri="{02D57815-91ED-43cb-92C2-25804820EDAC}">
            <c15:filteredLine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'PV Febrero 2026'!$AB$6</c15:sqref>
                        </c15:formulaRef>
                      </c:ext>
                    </c:extLst>
                    <c:strCache>
                      <c:ptCount val="1"/>
                      <c:pt idx="0">
                        <c:v>Lineamiento prudencial EGDMP</c:v>
                      </c:pt>
                    </c:strCache>
                  </c:strRef>
                </c:tx>
                <c:spPr>
                  <a:ln w="6350" cap="rnd">
                    <a:solidFill>
                      <a:schemeClr val="tx1">
                        <a:lumMod val="50000"/>
                        <a:lumOff val="5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'PV Marzo 2026'!$A$8:$A$44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'PV Febrero 2026'!$AB$8:$AB$48</c15:sqref>
                        </c15:formulaRef>
                      </c:ext>
                    </c:extLst>
                    <c:numCache>
                      <c:formatCode>General</c:formatCode>
                      <c:ptCount val="41"/>
                      <c:pt idx="0">
                        <c:v>8</c:v>
                      </c:pt>
                      <c:pt idx="1">
                        <c:v>8</c:v>
                      </c:pt>
                      <c:pt idx="2">
                        <c:v>8</c:v>
                      </c:pt>
                      <c:pt idx="3">
                        <c:v>8</c:v>
                      </c:pt>
                      <c:pt idx="4">
                        <c:v>8</c:v>
                      </c:pt>
                      <c:pt idx="5">
                        <c:v>8</c:v>
                      </c:pt>
                      <c:pt idx="6">
                        <c:v>8</c:v>
                      </c:pt>
                      <c:pt idx="7">
                        <c:v>8</c:v>
                      </c:pt>
                      <c:pt idx="8">
                        <c:v>8</c:v>
                      </c:pt>
                      <c:pt idx="9">
                        <c:v>8</c:v>
                      </c:pt>
                      <c:pt idx="10">
                        <c:v>8</c:v>
                      </c:pt>
                      <c:pt idx="11">
                        <c:v>8</c:v>
                      </c:pt>
                      <c:pt idx="12">
                        <c:v>8</c:v>
                      </c:pt>
                      <c:pt idx="13">
                        <c:v>8</c:v>
                      </c:pt>
                      <c:pt idx="14">
                        <c:v>8</c:v>
                      </c:pt>
                      <c:pt idx="15">
                        <c:v>8</c:v>
                      </c:pt>
                      <c:pt idx="16">
                        <c:v>8</c:v>
                      </c:pt>
                      <c:pt idx="17">
                        <c:v>8</c:v>
                      </c:pt>
                      <c:pt idx="18">
                        <c:v>8</c:v>
                      </c:pt>
                      <c:pt idx="19">
                        <c:v>8</c:v>
                      </c:pt>
                      <c:pt idx="20">
                        <c:v>8</c:v>
                      </c:pt>
                      <c:pt idx="21">
                        <c:v>8</c:v>
                      </c:pt>
                      <c:pt idx="22">
                        <c:v>8</c:v>
                      </c:pt>
                      <c:pt idx="23">
                        <c:v>8</c:v>
                      </c:pt>
                      <c:pt idx="24">
                        <c:v>8</c:v>
                      </c:pt>
                      <c:pt idx="25">
                        <c:v>8</c:v>
                      </c:pt>
                      <c:pt idx="26">
                        <c:v>8</c:v>
                      </c:pt>
                      <c:pt idx="27">
                        <c:v>8</c:v>
                      </c:pt>
                      <c:pt idx="28">
                        <c:v>8</c:v>
                      </c:pt>
                      <c:pt idx="29">
                        <c:v>8</c:v>
                      </c:pt>
                      <c:pt idx="30">
                        <c:v>8</c:v>
                      </c:pt>
                      <c:pt idx="31">
                        <c:v>8</c:v>
                      </c:pt>
                      <c:pt idx="32">
                        <c:v>8</c:v>
                      </c:pt>
                      <c:pt idx="33">
                        <c:v>8</c:v>
                      </c:pt>
                      <c:pt idx="34">
                        <c:v>8</c:v>
                      </c:pt>
                      <c:pt idx="35">
                        <c:v>8</c:v>
                      </c:pt>
                      <c:pt idx="36">
                        <c:v>8</c:v>
                      </c:pt>
                      <c:pt idx="37">
                        <c:v>8</c:v>
                      </c:pt>
                      <c:pt idx="38">
                        <c:v>8</c:v>
                      </c:pt>
                      <c:pt idx="39">
                        <c:v>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7-50DC-4E02-91B4-1099EDC3DE82}"/>
                  </c:ext>
                </c:extLst>
              </c15:ser>
            </c15:filteredLineSeries>
          </c:ext>
        </c:extLst>
      </c:lineChart>
      <c:catAx>
        <c:axId val="747331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CO"/>
          </a:p>
        </c:txPr>
        <c:crossAx val="747338687"/>
        <c:crosses val="autoZero"/>
        <c:auto val="1"/>
        <c:lblAlgn val="ctr"/>
        <c:lblOffset val="100"/>
        <c:noMultiLvlLbl val="0"/>
      </c:catAx>
      <c:valAx>
        <c:axId val="747338687"/>
        <c:scaling>
          <c:orientation val="minMax"/>
        </c:scaling>
        <c:delete val="1"/>
        <c:axPos val="l"/>
        <c:numFmt formatCode="_(* #,##0_);_(* \(#,##0\);_(* &quot;-&quot;_);_(@_)" sourceLinked="1"/>
        <c:majorTickMark val="none"/>
        <c:minorTickMark val="none"/>
        <c:tickLblPos val="nextTo"/>
        <c:crossAx val="747331615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CO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legendEntry>
        <c:idx val="6"/>
        <c:delete val="1"/>
      </c:legendEntry>
      <c:layout>
        <c:manualLayout>
          <c:xMode val="edge"/>
          <c:yMode val="edge"/>
          <c:x val="6.3258745650880507E-2"/>
          <c:y val="0.81515889787083207"/>
          <c:w val="0.58786992369155378"/>
          <c:h val="3.44154742161275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CO" b="1"/>
              <a:t>Perfil de vencimientos de deuda (% del total de deuda)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3.3583811690558615E-2"/>
          <c:y val="9.8330042243379961E-2"/>
          <c:w val="0.95350403921660809"/>
          <c:h val="0.63774676116883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'PV Febrero 2026'!$U$6</c:f>
              <c:strCache>
                <c:ptCount val="1"/>
                <c:pt idx="0">
                  <c:v>TES pesos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'PV Febrero 2026'!$A$8:$A$45</c:f>
              <c:numCache>
                <c:formatCode>General</c:formatCode>
                <c:ptCount val="38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Febrero 2026'!$U$8:$U$46</c:f>
              <c:numCache>
                <c:formatCode>_(* #,##0_);_(* \(#,##0\);_(* "-"_);_(@_)</c:formatCode>
                <c:ptCount val="39"/>
                <c:pt idx="0">
                  <c:v>0.81878635255761456</c:v>
                </c:pt>
                <c:pt idx="1">
                  <c:v>1.8904228110056931</c:v>
                </c:pt>
                <c:pt idx="2">
                  <c:v>3.3428560858150269</c:v>
                </c:pt>
                <c:pt idx="3">
                  <c:v>4.0097290969854003</c:v>
                </c:pt>
                <c:pt idx="4">
                  <c:v>3.1859756047736707</c:v>
                </c:pt>
                <c:pt idx="5">
                  <c:v>3.2709881416122069</c:v>
                </c:pt>
                <c:pt idx="6">
                  <c:v>2.5660681461317827</c:v>
                </c:pt>
                <c:pt idx="7">
                  <c:v>5.0656312818051132</c:v>
                </c:pt>
                <c:pt idx="8">
                  <c:v>1.4605496177185089</c:v>
                </c:pt>
                <c:pt idx="9">
                  <c:v>3.3793867450989978</c:v>
                </c:pt>
                <c:pt idx="10">
                  <c:v>1.8208771424557921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2.3115269504413711</c:v>
                </c:pt>
                <c:pt idx="15">
                  <c:v>0</c:v>
                </c:pt>
                <c:pt idx="16">
                  <c:v>4.3675172557425403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3.5648366959538254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2.0338969981738333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0.97811878003190478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B1-4A62-ADAE-1A0BC0B395E1}"/>
            </c:ext>
          </c:extLst>
        </c:ser>
        <c:ser>
          <c:idx val="2"/>
          <c:order val="2"/>
          <c:tx>
            <c:strRef>
              <c:f>'PV Febrero 2026'!$V$6</c:f>
              <c:strCache>
                <c:ptCount val="1"/>
                <c:pt idx="0">
                  <c:v>TES UVR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'PV Febrero 2026'!$A$8:$A$45</c:f>
              <c:numCache>
                <c:formatCode>General</c:formatCode>
                <c:ptCount val="38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Febrero 2026'!$V$8:$V$45</c:f>
              <c:numCache>
                <c:formatCode>_(* #,##0_);_(* \(#,##0\);_(* "-"_);_(@_)</c:formatCode>
                <c:ptCount val="38"/>
                <c:pt idx="0">
                  <c:v>0</c:v>
                </c:pt>
                <c:pt idx="1">
                  <c:v>1.8466849176395614</c:v>
                </c:pt>
                <c:pt idx="2">
                  <c:v>0</c:v>
                </c:pt>
                <c:pt idx="3">
                  <c:v>1.3876145279176249</c:v>
                </c:pt>
                <c:pt idx="4">
                  <c:v>0</c:v>
                </c:pt>
                <c:pt idx="5">
                  <c:v>2.052874468103961</c:v>
                </c:pt>
                <c:pt idx="6">
                  <c:v>0</c:v>
                </c:pt>
                <c:pt idx="7">
                  <c:v>1.3427498898206869</c:v>
                </c:pt>
                <c:pt idx="8">
                  <c:v>0</c:v>
                </c:pt>
                <c:pt idx="9">
                  <c:v>2.8473808653621329</c:v>
                </c:pt>
                <c:pt idx="10">
                  <c:v>0</c:v>
                </c:pt>
                <c:pt idx="11">
                  <c:v>4.1313398310004006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0.66096295408614636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3.0018427220778339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0.98666231884044475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1.9626987426147799</c:v>
                </c:pt>
                <c:pt idx="3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B1-4A62-ADAE-1A0BC0B395E1}"/>
            </c:ext>
          </c:extLst>
        </c:ser>
        <c:ser>
          <c:idx val="3"/>
          <c:order val="3"/>
          <c:tx>
            <c:strRef>
              <c:f>'PV Febrero 2026'!$W$6</c:f>
              <c:strCache>
                <c:ptCount val="1"/>
                <c:pt idx="0">
                  <c:v>Otros Interna*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'PV Febrero 2026'!$A$8:$A$45</c:f>
              <c:numCache>
                <c:formatCode>General</c:formatCode>
                <c:ptCount val="38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Febrero 2026'!$W$8:$W$46</c:f>
              <c:numCache>
                <c:formatCode>_(* #,##0_);_(* \(#,##0\);_(* "-"_);_(@_)</c:formatCode>
                <c:ptCount val="39"/>
                <c:pt idx="0">
                  <c:v>3.7966779447003289E-3</c:v>
                </c:pt>
                <c:pt idx="1">
                  <c:v>0</c:v>
                </c:pt>
                <c:pt idx="2">
                  <c:v>0</c:v>
                </c:pt>
                <c:pt idx="3">
                  <c:v>0.90507297077132909</c:v>
                </c:pt>
                <c:pt idx="4">
                  <c:v>0.16880712901844999</c:v>
                </c:pt>
                <c:pt idx="5">
                  <c:v>0</c:v>
                </c:pt>
                <c:pt idx="6">
                  <c:v>3.8553785349083384E-8</c:v>
                </c:pt>
                <c:pt idx="7">
                  <c:v>6.1825407786098298E-7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B1-4A62-ADAE-1A0BC0B395E1}"/>
            </c:ext>
          </c:extLst>
        </c:ser>
        <c:ser>
          <c:idx val="4"/>
          <c:order val="4"/>
          <c:tx>
            <c:strRef>
              <c:f>'PV Febrero 2026'!$X$6</c:f>
              <c:strCache>
                <c:ptCount val="1"/>
                <c:pt idx="0">
                  <c:v>Bonos Externos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'PV Febrero 2026'!$A$8:$A$45</c:f>
              <c:numCache>
                <c:formatCode>General</c:formatCode>
                <c:ptCount val="38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Febrero 2026'!$X$8:$X$45</c:f>
              <c:numCache>
                <c:formatCode>_(* #,##0_);_(* \(#,##0\);_(* "-"_);_(@_)</c:formatCode>
                <c:ptCount val="38"/>
                <c:pt idx="0">
                  <c:v>0.1484625637902835</c:v>
                </c:pt>
                <c:pt idx="1">
                  <c:v>0.66502904463004708</c:v>
                </c:pt>
                <c:pt idx="2">
                  <c:v>0.60229335176935195</c:v>
                </c:pt>
                <c:pt idx="3">
                  <c:v>1.3995674416676323</c:v>
                </c:pt>
                <c:pt idx="4">
                  <c:v>1.4112426332672301</c:v>
                </c:pt>
                <c:pt idx="5">
                  <c:v>1.4047990247645858</c:v>
                </c:pt>
                <c:pt idx="6">
                  <c:v>1.2988545685687283</c:v>
                </c:pt>
                <c:pt idx="7">
                  <c:v>1.148476645227809</c:v>
                </c:pt>
                <c:pt idx="8">
                  <c:v>1.0589687090650863</c:v>
                </c:pt>
                <c:pt idx="9">
                  <c:v>0.78503452273253527</c:v>
                </c:pt>
                <c:pt idx="10">
                  <c:v>1.1955664913730539</c:v>
                </c:pt>
                <c:pt idx="11">
                  <c:v>0.6362433589821056</c:v>
                </c:pt>
                <c:pt idx="12">
                  <c:v>0.3305218470261585</c:v>
                </c:pt>
                <c:pt idx="13">
                  <c:v>0</c:v>
                </c:pt>
                <c:pt idx="14">
                  <c:v>0</c:v>
                </c:pt>
                <c:pt idx="15">
                  <c:v>0.87472965104227007</c:v>
                </c:pt>
                <c:pt idx="16">
                  <c:v>0.18003545721007838</c:v>
                </c:pt>
                <c:pt idx="17">
                  <c:v>0</c:v>
                </c:pt>
                <c:pt idx="18">
                  <c:v>0.87472965104227007</c:v>
                </c:pt>
                <c:pt idx="19">
                  <c:v>1.2844348252137276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0.75873455115243804</c:v>
                </c:pt>
                <c:pt idx="24">
                  <c:v>0</c:v>
                </c:pt>
                <c:pt idx="25">
                  <c:v>0.36239209702216252</c:v>
                </c:pt>
                <c:pt idx="26">
                  <c:v>0</c:v>
                </c:pt>
                <c:pt idx="27">
                  <c:v>0.29578983149994365</c:v>
                </c:pt>
                <c:pt idx="28">
                  <c:v>0.57382265108372921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0.26306094687654608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B1-4A62-ADAE-1A0BC0B395E1}"/>
            </c:ext>
          </c:extLst>
        </c:ser>
        <c:ser>
          <c:idx val="5"/>
          <c:order val="5"/>
          <c:tx>
            <c:strRef>
              <c:f>'PV Febrero 2026'!$Z$6</c:f>
              <c:strCache>
                <c:ptCount val="1"/>
                <c:pt idx="0">
                  <c:v>Multilaterales**</c:v>
                </c:pt>
              </c:strCache>
            </c:strRef>
          </c:tx>
          <c:spPr>
            <a:solidFill>
              <a:srgbClr val="FFD3A7"/>
            </a:solidFill>
            <a:ln>
              <a:noFill/>
            </a:ln>
            <a:effectLst/>
          </c:spPr>
          <c:invertIfNegative val="0"/>
          <c:cat>
            <c:numRef>
              <c:f>'PV Febrero 2026'!$A$8:$A$45</c:f>
              <c:numCache>
                <c:formatCode>General</c:formatCode>
                <c:ptCount val="38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Febrero 2026'!$Z$8:$Z$46</c:f>
              <c:numCache>
                <c:formatCode>_(* #,##0_);_(* \(#,##0\);_(* "-"_);_(@_)</c:formatCode>
                <c:ptCount val="39"/>
                <c:pt idx="0">
                  <c:v>0.45288793433296187</c:v>
                </c:pt>
                <c:pt idx="1">
                  <c:v>0.89625265615965977</c:v>
                </c:pt>
                <c:pt idx="2">
                  <c:v>1.2584926901008351</c:v>
                </c:pt>
                <c:pt idx="3">
                  <c:v>1.0429870922325832</c:v>
                </c:pt>
                <c:pt idx="4">
                  <c:v>1.038825202200933</c:v>
                </c:pt>
                <c:pt idx="5">
                  <c:v>1.2427684549148128</c:v>
                </c:pt>
                <c:pt idx="6">
                  <c:v>0.81902943875964695</c:v>
                </c:pt>
                <c:pt idx="7">
                  <c:v>0.84608520553450473</c:v>
                </c:pt>
                <c:pt idx="8">
                  <c:v>0.76088342959411437</c:v>
                </c:pt>
                <c:pt idx="9">
                  <c:v>0.88508845421034299</c:v>
                </c:pt>
                <c:pt idx="10">
                  <c:v>1.3006595793412619</c:v>
                </c:pt>
                <c:pt idx="11">
                  <c:v>0.45005729107450587</c:v>
                </c:pt>
                <c:pt idx="12">
                  <c:v>0.88750418833765876</c:v>
                </c:pt>
                <c:pt idx="13">
                  <c:v>0.5146166501041588</c:v>
                </c:pt>
                <c:pt idx="14">
                  <c:v>0.57220023021357636</c:v>
                </c:pt>
                <c:pt idx="15">
                  <c:v>0.18594492919736663</c:v>
                </c:pt>
                <c:pt idx="16">
                  <c:v>0.1178994775527922</c:v>
                </c:pt>
                <c:pt idx="17">
                  <c:v>4.9488735284598039E-2</c:v>
                </c:pt>
                <c:pt idx="18">
                  <c:v>3.5009299736769181E-2</c:v>
                </c:pt>
                <c:pt idx="19">
                  <c:v>3.173772200821879E-2</c:v>
                </c:pt>
                <c:pt idx="20">
                  <c:v>2.9578612190356974E-2</c:v>
                </c:pt>
                <c:pt idx="21">
                  <c:v>2.7587631585324714E-2</c:v>
                </c:pt>
                <c:pt idx="22">
                  <c:v>2.7379456018813975E-2</c:v>
                </c:pt>
                <c:pt idx="23">
                  <c:v>2.6700453909118481E-2</c:v>
                </c:pt>
                <c:pt idx="24">
                  <c:v>2.2768027712433643E-2</c:v>
                </c:pt>
                <c:pt idx="25">
                  <c:v>1.7087398601880129E-2</c:v>
                </c:pt>
                <c:pt idx="26">
                  <c:v>1.7087398601880098E-2</c:v>
                </c:pt>
                <c:pt idx="27">
                  <c:v>1.7087398601880088E-2</c:v>
                </c:pt>
                <c:pt idx="28">
                  <c:v>1.7087398601880129E-2</c:v>
                </c:pt>
                <c:pt idx="29">
                  <c:v>1.7087398601880098E-2</c:v>
                </c:pt>
                <c:pt idx="30">
                  <c:v>1.7087398601880098E-2</c:v>
                </c:pt>
                <c:pt idx="31">
                  <c:v>1.7087398601880098E-2</c:v>
                </c:pt>
                <c:pt idx="32">
                  <c:v>1.7087398601880098E-2</c:v>
                </c:pt>
                <c:pt idx="33">
                  <c:v>1.2558851797527521E-2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3B1-4A62-ADAE-1A0BC0B395E1}"/>
            </c:ext>
          </c:extLst>
        </c:ser>
        <c:ser>
          <c:idx val="7"/>
          <c:order val="7"/>
          <c:tx>
            <c:strRef>
              <c:f>'PV Febrero 2026'!$Y$6</c:f>
              <c:strCache>
                <c:ptCount val="1"/>
                <c:pt idx="0">
                  <c:v>TRS</c:v>
                </c:pt>
              </c:strCache>
            </c:strRef>
          </c:tx>
          <c:spPr>
            <a:solidFill>
              <a:schemeClr val="bg2"/>
            </a:solidFill>
            <a:ln w="25400">
              <a:noFill/>
            </a:ln>
            <a:effectLst/>
          </c:spPr>
          <c:invertIfNegative val="0"/>
          <c:cat>
            <c:numRef>
              <c:f>'PV Febrero 2026'!$A$8:$A$44</c:f>
              <c:numCache>
                <c:formatCode>General</c:formatCode>
                <c:ptCount val="3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Febrero 2026'!$Y$8:$Y$47</c:f>
              <c:numCache>
                <c:formatCode>_(* #,##0_);_(* \(#,##0\);_(* "-"_);_(@_)</c:formatCode>
                <c:ptCount val="40"/>
                <c:pt idx="0">
                  <c:v>3.4098628737631547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3B1-4A62-ADAE-1A0BC0B39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7"/>
        <c:overlap val="100"/>
        <c:axId val="747331615"/>
        <c:axId val="747338687"/>
      </c:barChart>
      <c:lineChart>
        <c:grouping val="standard"/>
        <c:varyColors val="0"/>
        <c:ser>
          <c:idx val="0"/>
          <c:order val="0"/>
          <c:tx>
            <c:v>Total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'PV Febrero 2026'!$A$8:$A$44</c:f>
              <c:numCache>
                <c:formatCode>General</c:formatCode>
                <c:ptCount val="3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Febrero 2026'!$AA$8:$AA$45</c:f>
              <c:numCache>
                <c:formatCode>_(* #,##0.0_);_(* \(#,##0.0\);_(* "-"_);_(@_)</c:formatCode>
                <c:ptCount val="38"/>
                <c:pt idx="0">
                  <c:v>4.8337964023887148</c:v>
                </c:pt>
                <c:pt idx="1">
                  <c:v>5.2983894294349607</c:v>
                </c:pt>
                <c:pt idx="2">
                  <c:v>5.2036421276852138</c:v>
                </c:pt>
                <c:pt idx="3">
                  <c:v>8.7449711295745693</c:v>
                </c:pt>
                <c:pt idx="4">
                  <c:v>5.8048505692602834</c:v>
                </c:pt>
                <c:pt idx="5">
                  <c:v>7.9714300893955663</c:v>
                </c:pt>
                <c:pt idx="6">
                  <c:v>4.6839521920139431</c:v>
                </c:pt>
                <c:pt idx="7">
                  <c:v>8.4029436406421922</c:v>
                </c:pt>
                <c:pt idx="8">
                  <c:v>3.2804017563777097</c:v>
                </c:pt>
                <c:pt idx="9">
                  <c:v>7.896890587404009</c:v>
                </c:pt>
                <c:pt idx="10">
                  <c:v>4.3171032131701077</c:v>
                </c:pt>
                <c:pt idx="11">
                  <c:v>5.2176404810570123</c:v>
                </c:pt>
                <c:pt idx="12">
                  <c:v>1.2180260353638173</c:v>
                </c:pt>
                <c:pt idx="13">
                  <c:v>0.5146166501041588</c:v>
                </c:pt>
                <c:pt idx="14">
                  <c:v>2.8837271806549474</c:v>
                </c:pt>
                <c:pt idx="15">
                  <c:v>1.721637534325783</c:v>
                </c:pt>
                <c:pt idx="16">
                  <c:v>4.6654521905054107</c:v>
                </c:pt>
                <c:pt idx="17">
                  <c:v>4.9488735284598039E-2</c:v>
                </c:pt>
                <c:pt idx="18">
                  <c:v>0.90973895077903921</c:v>
                </c:pt>
                <c:pt idx="19">
                  <c:v>1.3161725472219465</c:v>
                </c:pt>
                <c:pt idx="20">
                  <c:v>3.5944153081441823</c:v>
                </c:pt>
                <c:pt idx="21">
                  <c:v>2.7587631585324714E-2</c:v>
                </c:pt>
                <c:pt idx="22">
                  <c:v>2.7379456018813975E-2</c:v>
                </c:pt>
                <c:pt idx="23">
                  <c:v>3.7872777271393905</c:v>
                </c:pt>
                <c:pt idx="24">
                  <c:v>2.0566650258862671</c:v>
                </c:pt>
                <c:pt idx="25">
                  <c:v>0.37947949562404265</c:v>
                </c:pt>
                <c:pt idx="26">
                  <c:v>1.7087398601880098E-2</c:v>
                </c:pt>
                <c:pt idx="27">
                  <c:v>0.31287723010182372</c:v>
                </c:pt>
                <c:pt idx="28">
                  <c:v>0.59091004968560934</c:v>
                </c:pt>
                <c:pt idx="29">
                  <c:v>1.0037497174423249</c:v>
                </c:pt>
                <c:pt idx="30">
                  <c:v>1.7087398601880098E-2</c:v>
                </c:pt>
                <c:pt idx="31">
                  <c:v>1.7087398601880098E-2</c:v>
                </c:pt>
                <c:pt idx="32">
                  <c:v>0.99520617863378491</c:v>
                </c:pt>
                <c:pt idx="33">
                  <c:v>1.2558851797527521E-2</c:v>
                </c:pt>
                <c:pt idx="34">
                  <c:v>0</c:v>
                </c:pt>
                <c:pt idx="35">
                  <c:v>0.26306094687654608</c:v>
                </c:pt>
                <c:pt idx="36">
                  <c:v>1.9626987426147799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3B1-4A62-ADAE-1A0BC0B395E1}"/>
            </c:ext>
          </c:extLst>
        </c:ser>
        <c:ser>
          <c:idx val="6"/>
          <c:order val="6"/>
          <c:tx>
            <c:strRef>
              <c:f>'PV Febrero 2026'!$AB$6</c:f>
              <c:strCache>
                <c:ptCount val="1"/>
                <c:pt idx="0">
                  <c:v>Lineamiento prudencial EGDMP</c:v>
                </c:pt>
              </c:strCache>
            </c:strRef>
          </c:tx>
          <c:spPr>
            <a:ln w="28575" cap="rnd">
              <a:solidFill>
                <a:schemeClr val="tx1">
                  <a:lumMod val="50000"/>
                  <a:lumOff val="5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'PV Febrero 2026'!$A$8:$A$44</c:f>
              <c:numCache>
                <c:formatCode>General</c:formatCode>
                <c:ptCount val="3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Febrero 2026'!$AB$8:$AB$44</c:f>
              <c:numCache>
                <c:formatCode>General</c:formatCode>
                <c:ptCount val="37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3B1-4A62-ADAE-1A0BC0B39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331615"/>
        <c:axId val="747338687"/>
      </c:lineChart>
      <c:catAx>
        <c:axId val="747331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CO"/>
          </a:p>
        </c:txPr>
        <c:crossAx val="747338687"/>
        <c:crossesAt val="0"/>
        <c:auto val="1"/>
        <c:lblAlgn val="ctr"/>
        <c:lblOffset val="100"/>
        <c:noMultiLvlLbl val="0"/>
      </c:catAx>
      <c:valAx>
        <c:axId val="747338687"/>
        <c:scaling>
          <c:orientation val="minMax"/>
          <c:min val="0"/>
        </c:scaling>
        <c:delete val="1"/>
        <c:axPos val="l"/>
        <c:numFmt formatCode="_(* #,##0_);_(* \(#,##0\);_(* &quot;-&quot;_);_(@_)" sourceLinked="0"/>
        <c:majorTickMark val="none"/>
        <c:minorTickMark val="none"/>
        <c:tickLblPos val="nextTo"/>
        <c:crossAx val="7473316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6"/>
        <c:delete val="1"/>
      </c:legendEntry>
      <c:layout>
        <c:manualLayout>
          <c:xMode val="edge"/>
          <c:yMode val="edge"/>
          <c:x val="6.3258745650880507E-2"/>
          <c:y val="0.81515889787083207"/>
          <c:w val="0.8999999506381744"/>
          <c:h val="3.45612343595971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CO" b="1"/>
              <a:t>Perfil de vencimientos de deuda (COP</a:t>
            </a:r>
            <a:r>
              <a:rPr lang="es-CO" b="1" baseline="0"/>
              <a:t> billones</a:t>
            </a:r>
            <a:r>
              <a:rPr lang="es-CO" b="1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3.2756693909492166E-2"/>
          <c:y val="8.6515593791770345E-2"/>
          <c:w val="0.95350403921660809"/>
          <c:h val="0.66556364796748824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'PV Marzo 2026'!$U$6</c:f>
              <c:strCache>
                <c:ptCount val="1"/>
                <c:pt idx="0">
                  <c:v>TES pesos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'PV Marzo 2026'!$A$8:$A$48</c:f>
              <c:numCache>
                <c:formatCode>General</c:formatCode>
                <c:ptCount val="41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Marzo 2026'!$N$8:$N$48</c:f>
              <c:numCache>
                <c:formatCode>_(* #,##0_);_(* \(#,##0\);_(* "-"_);_(@_)</c:formatCode>
                <c:ptCount val="41"/>
                <c:pt idx="0">
                  <c:v>5437275.2999999998</c:v>
                </c:pt>
                <c:pt idx="1">
                  <c:v>21695857</c:v>
                </c:pt>
                <c:pt idx="2">
                  <c:v>37205100.200000003</c:v>
                </c:pt>
                <c:pt idx="3">
                  <c:v>41804513</c:v>
                </c:pt>
                <c:pt idx="4">
                  <c:v>39932208.799999997</c:v>
                </c:pt>
                <c:pt idx="5">
                  <c:v>35209514.799999997</c:v>
                </c:pt>
                <c:pt idx="6">
                  <c:v>27621627</c:v>
                </c:pt>
                <c:pt idx="7">
                  <c:v>51956725.200000003</c:v>
                </c:pt>
                <c:pt idx="8">
                  <c:v>15721623.300000001</c:v>
                </c:pt>
                <c:pt idx="9">
                  <c:v>37230595.399999999</c:v>
                </c:pt>
                <c:pt idx="10">
                  <c:v>19600254.699999999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22881302.399999999</c:v>
                </c:pt>
                <c:pt idx="15">
                  <c:v>0</c:v>
                </c:pt>
                <c:pt idx="16">
                  <c:v>47117754.799999997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38492554.399999999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21893239.399999999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10528649.5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C4-45FB-94B7-E568AE68C181}"/>
            </c:ext>
          </c:extLst>
        </c:ser>
        <c:ser>
          <c:idx val="2"/>
          <c:order val="2"/>
          <c:tx>
            <c:strRef>
              <c:f>'PV Marzo 2026'!$V$6</c:f>
              <c:strCache>
                <c:ptCount val="1"/>
                <c:pt idx="0">
                  <c:v>TES UVR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'PV Marzo 2026'!$A$8:$A$48</c:f>
              <c:numCache>
                <c:formatCode>General</c:formatCode>
                <c:ptCount val="41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Marzo 2026'!$O$8:$O$48</c:f>
              <c:numCache>
                <c:formatCode>_(* #,##0_);_(* \(#,##0\);_(* "-"_);_(@_)</c:formatCode>
                <c:ptCount val="41"/>
                <c:pt idx="0">
                  <c:v>0</c:v>
                </c:pt>
                <c:pt idx="1">
                  <c:v>20114582.717459999</c:v>
                </c:pt>
                <c:pt idx="2">
                  <c:v>0</c:v>
                </c:pt>
                <c:pt idx="3">
                  <c:v>15114266.0749212</c:v>
                </c:pt>
                <c:pt idx="4">
                  <c:v>0</c:v>
                </c:pt>
                <c:pt idx="5">
                  <c:v>22849483.004682399</c:v>
                </c:pt>
                <c:pt idx="6">
                  <c:v>0</c:v>
                </c:pt>
                <c:pt idx="7">
                  <c:v>14625588.517927201</c:v>
                </c:pt>
                <c:pt idx="8">
                  <c:v>0</c:v>
                </c:pt>
                <c:pt idx="9">
                  <c:v>31014428.827223603</c:v>
                </c:pt>
                <c:pt idx="10">
                  <c:v>0</c:v>
                </c:pt>
                <c:pt idx="11">
                  <c:v>44999650.980424799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7410046.2822980005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32696868.405260399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10939379.465762001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22967601.6109672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C4-45FB-94B7-E568AE68C181}"/>
            </c:ext>
          </c:extLst>
        </c:ser>
        <c:ser>
          <c:idx val="3"/>
          <c:order val="3"/>
          <c:tx>
            <c:strRef>
              <c:f>'PV Marzo 2026'!$W$6</c:f>
              <c:strCache>
                <c:ptCount val="1"/>
                <c:pt idx="0">
                  <c:v>Otros Interna*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'PV Marzo 2026'!$A$8:$A$48</c:f>
              <c:numCache>
                <c:formatCode>General</c:formatCode>
                <c:ptCount val="41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Marzo 2026'!$P$8:$P$48</c:f>
              <c:numCache>
                <c:formatCode>_(* #,##0_);_(* \(#,##0\);_(* "-"_);_(@_)</c:formatCode>
                <c:ptCount val="41"/>
                <c:pt idx="0">
                  <c:v>40868.136018000543</c:v>
                </c:pt>
                <c:pt idx="1">
                  <c:v>7.4505805969238281E-9</c:v>
                </c:pt>
                <c:pt idx="2">
                  <c:v>0</c:v>
                </c:pt>
                <c:pt idx="3">
                  <c:v>9742369.9909999967</c:v>
                </c:pt>
                <c:pt idx="4">
                  <c:v>1817070.8208655119</c:v>
                </c:pt>
                <c:pt idx="5">
                  <c:v>0</c:v>
                </c:pt>
                <c:pt idx="6">
                  <c:v>0.41499999910593033</c:v>
                </c:pt>
                <c:pt idx="7">
                  <c:v>6.6549999993294477</c:v>
                </c:pt>
                <c:pt idx="8">
                  <c:v>0</c:v>
                </c:pt>
                <c:pt idx="9">
                  <c:v>3.7252902984619141E-9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C4-45FB-94B7-E568AE68C181}"/>
            </c:ext>
          </c:extLst>
        </c:ser>
        <c:ser>
          <c:idx val="4"/>
          <c:order val="4"/>
          <c:tx>
            <c:strRef>
              <c:f>'PV Marzo 2026'!$X$6</c:f>
              <c:strCache>
                <c:ptCount val="1"/>
                <c:pt idx="0">
                  <c:v>Bonos Externos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'PV Marzo 2026'!$A$8:$A$48</c:f>
              <c:numCache>
                <c:formatCode>General</c:formatCode>
                <c:ptCount val="41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Marzo 2026'!$Q$8:$Q$48</c:f>
              <c:numCache>
                <c:formatCode>_(* #,##0_);_(* \(#,##0\);_(* "-"_);_(@_)</c:formatCode>
                <c:ptCount val="41"/>
                <c:pt idx="0">
                  <c:v>0</c:v>
                </c:pt>
                <c:pt idx="1">
                  <c:v>6983691.5426804107</c:v>
                </c:pt>
                <c:pt idx="2">
                  <c:v>6165697.9483024469</c:v>
                </c:pt>
                <c:pt idx="3">
                  <c:v>14679840.000265451</c:v>
                </c:pt>
                <c:pt idx="4">
                  <c:v>14750002.295543602</c:v>
                </c:pt>
                <c:pt idx="5">
                  <c:v>14734713.242186444</c:v>
                </c:pt>
                <c:pt idx="6">
                  <c:v>13471817.61683456</c:v>
                </c:pt>
                <c:pt idx="7">
                  <c:v>12046188.625177829</c:v>
                </c:pt>
                <c:pt idx="8">
                  <c:v>11034138.435795162</c:v>
                </c:pt>
                <c:pt idx="9">
                  <c:v>8234102.0841888944</c:v>
                </c:pt>
                <c:pt idx="10">
                  <c:v>12414593.889817003</c:v>
                </c:pt>
                <c:pt idx="11">
                  <c:v>6673455.2641206747</c:v>
                </c:pt>
                <c:pt idx="12">
                  <c:v>3383115.9264561855</c:v>
                </c:pt>
                <c:pt idx="13">
                  <c:v>0</c:v>
                </c:pt>
                <c:pt idx="14">
                  <c:v>0</c:v>
                </c:pt>
                <c:pt idx="15">
                  <c:v>9174900.0001659058</c:v>
                </c:pt>
                <c:pt idx="16">
                  <c:v>1888363.2381941469</c:v>
                </c:pt>
                <c:pt idx="17">
                  <c:v>0</c:v>
                </c:pt>
                <c:pt idx="18">
                  <c:v>9174900.0001659058</c:v>
                </c:pt>
                <c:pt idx="19">
                  <c:v>13472232.322323613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7958245.8708239067</c:v>
                </c:pt>
                <c:pt idx="24">
                  <c:v>0</c:v>
                </c:pt>
                <c:pt idx="25">
                  <c:v>3801072.991028734</c:v>
                </c:pt>
                <c:pt idx="26">
                  <c:v>0</c:v>
                </c:pt>
                <c:pt idx="27">
                  <c:v>3102492.4350561015</c:v>
                </c:pt>
                <c:pt idx="28">
                  <c:v>6018734.4001088347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2759204.3766498938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EC4-45FB-94B7-E568AE68C181}"/>
            </c:ext>
          </c:extLst>
        </c:ser>
        <c:ser>
          <c:idx val="5"/>
          <c:order val="5"/>
          <c:tx>
            <c:strRef>
              <c:f>'PV Marzo 2026'!$Z$6</c:f>
              <c:strCache>
                <c:ptCount val="1"/>
                <c:pt idx="0">
                  <c:v>Multilaterales**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'PV Marzo 2026'!$A$8:$A$48</c:f>
              <c:numCache>
                <c:formatCode>General</c:formatCode>
                <c:ptCount val="41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Marzo 2026'!$S$8:$S$48</c:f>
              <c:numCache>
                <c:formatCode>_(* #,##0_);_(* \(#,##0\);_(* "-"_);_(@_)</c:formatCode>
                <c:ptCount val="41"/>
                <c:pt idx="0">
                  <c:v>4285751.2410124</c:v>
                </c:pt>
                <c:pt idx="1">
                  <c:v>9279059.3322160393</c:v>
                </c:pt>
                <c:pt idx="2">
                  <c:v>13011929.923916876</c:v>
                </c:pt>
                <c:pt idx="3">
                  <c:v>10752396.266536256</c:v>
                </c:pt>
                <c:pt idx="4">
                  <c:v>10669329.736319531</c:v>
                </c:pt>
                <c:pt idx="5">
                  <c:v>12824849.334994094</c:v>
                </c:pt>
                <c:pt idx="6">
                  <c:v>8443915.4113011956</c:v>
                </c:pt>
                <c:pt idx="7">
                  <c:v>8584942.0752076246</c:v>
                </c:pt>
                <c:pt idx="8">
                  <c:v>7824762.1525878217</c:v>
                </c:pt>
                <c:pt idx="9">
                  <c:v>9057766.2267794758</c:v>
                </c:pt>
                <c:pt idx="10">
                  <c:v>13378785.850885667</c:v>
                </c:pt>
                <c:pt idx="11">
                  <c:v>4597810.626189894</c:v>
                </c:pt>
                <c:pt idx="12">
                  <c:v>9195423.7936152648</c:v>
                </c:pt>
                <c:pt idx="13">
                  <c:v>5297262.2385148164</c:v>
                </c:pt>
                <c:pt idx="14">
                  <c:v>5910574.673529706</c:v>
                </c:pt>
                <c:pt idx="15">
                  <c:v>1878798.177786408</c:v>
                </c:pt>
                <c:pt idx="16">
                  <c:v>1194005.6194690715</c:v>
                </c:pt>
                <c:pt idx="17">
                  <c:v>506453.3401822524</c:v>
                </c:pt>
                <c:pt idx="18">
                  <c:v>359076.16471594659</c:v>
                </c:pt>
                <c:pt idx="19">
                  <c:v>325032.7612897525</c:v>
                </c:pt>
                <c:pt idx="20">
                  <c:v>302157.8979416209</c:v>
                </c:pt>
                <c:pt idx="21">
                  <c:v>281274.81945940078</c:v>
                </c:pt>
                <c:pt idx="22">
                  <c:v>279032.88613009691</c:v>
                </c:pt>
                <c:pt idx="23">
                  <c:v>272109.49423485069</c:v>
                </c:pt>
                <c:pt idx="24">
                  <c:v>222526.1338457333</c:v>
                </c:pt>
                <c:pt idx="25">
                  <c:v>175147.48197564424</c:v>
                </c:pt>
                <c:pt idx="26">
                  <c:v>175147.48197564433</c:v>
                </c:pt>
                <c:pt idx="27">
                  <c:v>175147.48197564424</c:v>
                </c:pt>
                <c:pt idx="28">
                  <c:v>175147.48197564424</c:v>
                </c:pt>
                <c:pt idx="29">
                  <c:v>175147.48197564433</c:v>
                </c:pt>
                <c:pt idx="30">
                  <c:v>175147.48197564433</c:v>
                </c:pt>
                <c:pt idx="31">
                  <c:v>175147.48197564433</c:v>
                </c:pt>
                <c:pt idx="32">
                  <c:v>175147.48197564433</c:v>
                </c:pt>
                <c:pt idx="33">
                  <c:v>129688.03607055094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EC4-45FB-94B7-E568AE68C181}"/>
            </c:ext>
          </c:extLst>
        </c:ser>
        <c:ser>
          <c:idx val="7"/>
          <c:order val="7"/>
          <c:tx>
            <c:strRef>
              <c:f>'PV Marzo 2026'!$R$6</c:f>
              <c:strCache>
                <c:ptCount val="1"/>
                <c:pt idx="0">
                  <c:v>TRS</c:v>
                </c:pt>
              </c:strCache>
            </c:strRef>
          </c:tx>
          <c:spPr>
            <a:solidFill>
              <a:schemeClr val="bg2"/>
            </a:solidFill>
            <a:ln w="25400">
              <a:noFill/>
            </a:ln>
            <a:effectLst/>
          </c:spPr>
          <c:invertIfNegative val="0"/>
          <c:cat>
            <c:numRef>
              <c:f>'PV Marzo 2026'!$A$8:$A$48</c:f>
              <c:numCache>
                <c:formatCode>General</c:formatCode>
                <c:ptCount val="41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Marzo 2026'!$R$8:$R$47</c:f>
              <c:numCache>
                <c:formatCode>_(* #,##0_);_(* \(#,##0\);_(* "-"_);_(@_)</c:formatCode>
                <c:ptCount val="40"/>
                <c:pt idx="0">
                  <c:v>27390863.234101187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EC4-45FB-94B7-E568AE68C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overlap val="100"/>
        <c:axId val="747331615"/>
        <c:axId val="747338687"/>
      </c:barChart>
      <c:lineChart>
        <c:grouping val="standard"/>
        <c:varyColors val="0"/>
        <c:ser>
          <c:idx val="0"/>
          <c:order val="0"/>
          <c:tx>
            <c:strRef>
              <c:f>'PV Marzo 2026'!$AA$6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'PV Marzo 2026'!$A$8:$A$44</c:f>
              <c:numCache>
                <c:formatCode>General</c:formatCode>
                <c:ptCount val="3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Marzo 2026'!$T$8:$T$48</c:f>
              <c:numCache>
                <c:formatCode>General</c:formatCode>
                <c:ptCount val="41"/>
                <c:pt idx="0">
                  <c:v>37154757.911131591</c:v>
                </c:pt>
                <c:pt idx="1">
                  <c:v>58073190.592356458</c:v>
                </c:pt>
                <c:pt idx="2">
                  <c:v>56382728.072219327</c:v>
                </c:pt>
                <c:pt idx="3">
                  <c:v>92093385.332722902</c:v>
                </c:pt>
                <c:pt idx="4">
                  <c:v>67168611.652728647</c:v>
                </c:pt>
                <c:pt idx="5">
                  <c:v>85618560.381862938</c:v>
                </c:pt>
                <c:pt idx="6">
                  <c:v>49537360.443135753</c:v>
                </c:pt>
                <c:pt idx="7">
                  <c:v>87213451.073312655</c:v>
                </c:pt>
                <c:pt idx="8">
                  <c:v>34580523.888382986</c:v>
                </c:pt>
                <c:pt idx="9">
                  <c:v>85536892.538191974</c:v>
                </c:pt>
                <c:pt idx="10">
                  <c:v>45393634.440702669</c:v>
                </c:pt>
                <c:pt idx="11">
                  <c:v>56270916.87073537</c:v>
                </c:pt>
                <c:pt idx="12">
                  <c:v>12578539.72007145</c:v>
                </c:pt>
                <c:pt idx="13">
                  <c:v>5297262.2385148164</c:v>
                </c:pt>
                <c:pt idx="14">
                  <c:v>28791877.073529705</c:v>
                </c:pt>
                <c:pt idx="15">
                  <c:v>18463744.460250314</c:v>
                </c:pt>
                <c:pt idx="16">
                  <c:v>50200123.657663211</c:v>
                </c:pt>
                <c:pt idx="17">
                  <c:v>506453.3401822524</c:v>
                </c:pt>
                <c:pt idx="18">
                  <c:v>9533976.1648818515</c:v>
                </c:pt>
                <c:pt idx="19">
                  <c:v>13797265.083613366</c:v>
                </c:pt>
                <c:pt idx="20">
                  <c:v>38794712.297941618</c:v>
                </c:pt>
                <c:pt idx="21">
                  <c:v>281274.81945940078</c:v>
                </c:pt>
                <c:pt idx="22">
                  <c:v>279032.88613009691</c:v>
                </c:pt>
                <c:pt idx="23">
                  <c:v>40927223.770319156</c:v>
                </c:pt>
                <c:pt idx="24">
                  <c:v>22115765.53384573</c:v>
                </c:pt>
                <c:pt idx="25">
                  <c:v>3976220.4730043784</c:v>
                </c:pt>
                <c:pt idx="26">
                  <c:v>175147.48197564433</c:v>
                </c:pt>
                <c:pt idx="27">
                  <c:v>3277639.9170317459</c:v>
                </c:pt>
                <c:pt idx="28">
                  <c:v>6193881.8820844786</c:v>
                </c:pt>
                <c:pt idx="29">
                  <c:v>11114526.947737645</c:v>
                </c:pt>
                <c:pt idx="30">
                  <c:v>175147.48197564433</c:v>
                </c:pt>
                <c:pt idx="31">
                  <c:v>175147.48197564433</c:v>
                </c:pt>
                <c:pt idx="32">
                  <c:v>10703796.981975645</c:v>
                </c:pt>
                <c:pt idx="33">
                  <c:v>129688.03607055094</c:v>
                </c:pt>
                <c:pt idx="34">
                  <c:v>0</c:v>
                </c:pt>
                <c:pt idx="35">
                  <c:v>2759204.3766498938</c:v>
                </c:pt>
                <c:pt idx="36">
                  <c:v>22967601.6109672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EC4-45FB-94B7-E568AE68C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331615"/>
        <c:axId val="747338687"/>
        <c:extLst>
          <c:ext xmlns:c15="http://schemas.microsoft.com/office/drawing/2012/chart" uri="{02D57815-91ED-43cb-92C2-25804820EDAC}">
            <c15:filteredLine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'PV Febrero 2026'!$AB$6</c15:sqref>
                        </c15:formulaRef>
                      </c:ext>
                    </c:extLst>
                    <c:strCache>
                      <c:ptCount val="1"/>
                      <c:pt idx="0">
                        <c:v>Lineamiento prudencial EGDMP</c:v>
                      </c:pt>
                    </c:strCache>
                  </c:strRef>
                </c:tx>
                <c:spPr>
                  <a:ln w="6350" cap="rnd">
                    <a:solidFill>
                      <a:schemeClr val="tx1">
                        <a:lumMod val="50000"/>
                        <a:lumOff val="5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'PV Marzo 2026'!$A$8:$A$44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'PV Febrero 2026'!$AB$8:$AB$48</c15:sqref>
                        </c15:formulaRef>
                      </c:ext>
                    </c:extLst>
                    <c:numCache>
                      <c:formatCode>General</c:formatCode>
                      <c:ptCount val="41"/>
                      <c:pt idx="0">
                        <c:v>8</c:v>
                      </c:pt>
                      <c:pt idx="1">
                        <c:v>8</c:v>
                      </c:pt>
                      <c:pt idx="2">
                        <c:v>8</c:v>
                      </c:pt>
                      <c:pt idx="3">
                        <c:v>8</c:v>
                      </c:pt>
                      <c:pt idx="4">
                        <c:v>8</c:v>
                      </c:pt>
                      <c:pt idx="5">
                        <c:v>8</c:v>
                      </c:pt>
                      <c:pt idx="6">
                        <c:v>8</c:v>
                      </c:pt>
                      <c:pt idx="7">
                        <c:v>8</c:v>
                      </c:pt>
                      <c:pt idx="8">
                        <c:v>8</c:v>
                      </c:pt>
                      <c:pt idx="9">
                        <c:v>8</c:v>
                      </c:pt>
                      <c:pt idx="10">
                        <c:v>8</c:v>
                      </c:pt>
                      <c:pt idx="11">
                        <c:v>8</c:v>
                      </c:pt>
                      <c:pt idx="12">
                        <c:v>8</c:v>
                      </c:pt>
                      <c:pt idx="13">
                        <c:v>8</c:v>
                      </c:pt>
                      <c:pt idx="14">
                        <c:v>8</c:v>
                      </c:pt>
                      <c:pt idx="15">
                        <c:v>8</c:v>
                      </c:pt>
                      <c:pt idx="16">
                        <c:v>8</c:v>
                      </c:pt>
                      <c:pt idx="17">
                        <c:v>8</c:v>
                      </c:pt>
                      <c:pt idx="18">
                        <c:v>8</c:v>
                      </c:pt>
                      <c:pt idx="19">
                        <c:v>8</c:v>
                      </c:pt>
                      <c:pt idx="20">
                        <c:v>8</c:v>
                      </c:pt>
                      <c:pt idx="21">
                        <c:v>8</c:v>
                      </c:pt>
                      <c:pt idx="22">
                        <c:v>8</c:v>
                      </c:pt>
                      <c:pt idx="23">
                        <c:v>8</c:v>
                      </c:pt>
                      <c:pt idx="24">
                        <c:v>8</c:v>
                      </c:pt>
                      <c:pt idx="25">
                        <c:v>8</c:v>
                      </c:pt>
                      <c:pt idx="26">
                        <c:v>8</c:v>
                      </c:pt>
                      <c:pt idx="27">
                        <c:v>8</c:v>
                      </c:pt>
                      <c:pt idx="28">
                        <c:v>8</c:v>
                      </c:pt>
                      <c:pt idx="29">
                        <c:v>8</c:v>
                      </c:pt>
                      <c:pt idx="30">
                        <c:v>8</c:v>
                      </c:pt>
                      <c:pt idx="31">
                        <c:v>8</c:v>
                      </c:pt>
                      <c:pt idx="32">
                        <c:v>8</c:v>
                      </c:pt>
                      <c:pt idx="33">
                        <c:v>8</c:v>
                      </c:pt>
                      <c:pt idx="34">
                        <c:v>8</c:v>
                      </c:pt>
                      <c:pt idx="35">
                        <c:v>8</c:v>
                      </c:pt>
                      <c:pt idx="36">
                        <c:v>8</c:v>
                      </c:pt>
                      <c:pt idx="37">
                        <c:v>8</c:v>
                      </c:pt>
                      <c:pt idx="38">
                        <c:v>8</c:v>
                      </c:pt>
                      <c:pt idx="39">
                        <c:v>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7-EEC4-45FB-94B7-E568AE68C181}"/>
                  </c:ext>
                </c:extLst>
              </c15:ser>
            </c15:filteredLineSeries>
          </c:ext>
        </c:extLst>
      </c:lineChart>
      <c:catAx>
        <c:axId val="747331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CO"/>
          </a:p>
        </c:txPr>
        <c:crossAx val="747338687"/>
        <c:crosses val="autoZero"/>
        <c:auto val="1"/>
        <c:lblAlgn val="ctr"/>
        <c:lblOffset val="100"/>
        <c:noMultiLvlLbl val="0"/>
      </c:catAx>
      <c:valAx>
        <c:axId val="747338687"/>
        <c:scaling>
          <c:orientation val="minMax"/>
        </c:scaling>
        <c:delete val="1"/>
        <c:axPos val="l"/>
        <c:numFmt formatCode="_(* #,##0_);_(* \(#,##0\);_(* &quot;-&quot;_);_(@_)" sourceLinked="1"/>
        <c:majorTickMark val="none"/>
        <c:minorTickMark val="none"/>
        <c:tickLblPos val="nextTo"/>
        <c:crossAx val="747331615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CO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legendEntry>
        <c:idx val="6"/>
        <c:delete val="1"/>
      </c:legendEntry>
      <c:layout>
        <c:manualLayout>
          <c:xMode val="edge"/>
          <c:yMode val="edge"/>
          <c:x val="6.3258745650880507E-2"/>
          <c:y val="0.81515889787083207"/>
          <c:w val="0.58786992369155378"/>
          <c:h val="3.44154742161275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CO" b="1"/>
              <a:t>Perfil de vencimientos de deuda (% del total de deuda)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3.3583811690558615E-2"/>
          <c:y val="9.8330042243379961E-2"/>
          <c:w val="0.95350403921660809"/>
          <c:h val="0.61046936663814499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'PV Marzo 2026'!$U$6</c:f>
              <c:strCache>
                <c:ptCount val="1"/>
                <c:pt idx="0">
                  <c:v>TES pesos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'PV Marzo 2026'!$A$8:$A$45</c:f>
              <c:numCache>
                <c:formatCode>General</c:formatCode>
                <c:ptCount val="38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Marzo 2026'!$U$8:$U$46</c:f>
              <c:numCache>
                <c:formatCode>_(* #,##0_);_(* \(#,##0\);_(* "-"_);_(@_)</c:formatCode>
                <c:ptCount val="39"/>
                <c:pt idx="0">
                  <c:v>0.51380396380953919</c:v>
                </c:pt>
                <c:pt idx="1">
                  <c:v>2.0501844600079271</c:v>
                </c:pt>
                <c:pt idx="2">
                  <c:v>3.5157550247071514</c:v>
                </c:pt>
                <c:pt idx="3">
                  <c:v>3.9503838410623446</c:v>
                </c:pt>
                <c:pt idx="4">
                  <c:v>3.7734574824839493</c:v>
                </c:pt>
                <c:pt idx="5">
                  <c:v>3.3271790133655053</c:v>
                </c:pt>
                <c:pt idx="6">
                  <c:v>2.6101495062184163</c:v>
                </c:pt>
                <c:pt idx="7">
                  <c:v>4.9097332545076346</c:v>
                </c:pt>
                <c:pt idx="8">
                  <c:v>1.4856397595060911</c:v>
                </c:pt>
                <c:pt idx="9">
                  <c:v>3.5181642341172603</c:v>
                </c:pt>
                <c:pt idx="10">
                  <c:v>1.8521571928749956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2.1622050055557644</c:v>
                </c:pt>
                <c:pt idx="15">
                  <c:v>0</c:v>
                </c:pt>
                <c:pt idx="16">
                  <c:v>4.4524670623254892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3.6374150537998911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2.0688364233371037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0.99492145388726649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E1-4F2F-9E37-85CD0D4626E9}"/>
            </c:ext>
          </c:extLst>
        </c:ser>
        <c:ser>
          <c:idx val="2"/>
          <c:order val="2"/>
          <c:tx>
            <c:strRef>
              <c:f>'PV Marzo 2026'!$V$6</c:f>
              <c:strCache>
                <c:ptCount val="1"/>
                <c:pt idx="0">
                  <c:v>TES UVR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'PV Marzo 2026'!$A$8:$A$45</c:f>
              <c:numCache>
                <c:formatCode>General</c:formatCode>
                <c:ptCount val="38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Marzo 2026'!$V$8:$V$45</c:f>
              <c:numCache>
                <c:formatCode>_(* #,##0_);_(* \(#,##0\);_(* "-"_);_(@_)</c:formatCode>
                <c:ptCount val="38"/>
                <c:pt idx="0">
                  <c:v>0</c:v>
                </c:pt>
                <c:pt idx="1">
                  <c:v>1.9007594356323654</c:v>
                </c:pt>
                <c:pt idx="2">
                  <c:v>0</c:v>
                </c:pt>
                <c:pt idx="3">
                  <c:v>1.4282465740453787</c:v>
                </c:pt>
                <c:pt idx="4">
                  <c:v>0</c:v>
                </c:pt>
                <c:pt idx="5">
                  <c:v>2.1591981812663628</c:v>
                </c:pt>
                <c:pt idx="6">
                  <c:v>0</c:v>
                </c:pt>
                <c:pt idx="7">
                  <c:v>1.3820682122824055</c:v>
                </c:pt>
                <c:pt idx="8">
                  <c:v>0</c:v>
                </c:pt>
                <c:pt idx="9">
                  <c:v>2.9307577026155593</c:v>
                </c:pt>
                <c:pt idx="10">
                  <c:v>0</c:v>
                </c:pt>
                <c:pt idx="11">
                  <c:v>4.2523134783681229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0.70022409052137802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3.0897425022385168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1.0337340342368162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2.1703599865383505</c:v>
                </c:pt>
                <c:pt idx="3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E1-4F2F-9E37-85CD0D4626E9}"/>
            </c:ext>
          </c:extLst>
        </c:ser>
        <c:ser>
          <c:idx val="3"/>
          <c:order val="3"/>
          <c:tx>
            <c:strRef>
              <c:f>'PV Febrero 2026'!$W$6</c:f>
              <c:strCache>
                <c:ptCount val="1"/>
                <c:pt idx="0">
                  <c:v>Otros Interna*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'PV Marzo 2026'!$A$8:$A$45</c:f>
              <c:numCache>
                <c:formatCode>General</c:formatCode>
                <c:ptCount val="38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Febrero 2026'!$W$8:$W$46</c:f>
              <c:numCache>
                <c:formatCode>_(* #,##0_);_(* \(#,##0\);_(* "-"_);_(@_)</c:formatCode>
                <c:ptCount val="39"/>
                <c:pt idx="0">
                  <c:v>3.7966779447003289E-3</c:v>
                </c:pt>
                <c:pt idx="1">
                  <c:v>0</c:v>
                </c:pt>
                <c:pt idx="2">
                  <c:v>0</c:v>
                </c:pt>
                <c:pt idx="3">
                  <c:v>0.90507297077132909</c:v>
                </c:pt>
                <c:pt idx="4">
                  <c:v>0.16880712901844999</c:v>
                </c:pt>
                <c:pt idx="5">
                  <c:v>0</c:v>
                </c:pt>
                <c:pt idx="6">
                  <c:v>3.8553785349083384E-8</c:v>
                </c:pt>
                <c:pt idx="7">
                  <c:v>6.1825407786098298E-7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E1-4F2F-9E37-85CD0D4626E9}"/>
            </c:ext>
          </c:extLst>
        </c:ser>
        <c:ser>
          <c:idx val="4"/>
          <c:order val="4"/>
          <c:tx>
            <c:strRef>
              <c:f>'PV Marzo 2026'!$X$6</c:f>
              <c:strCache>
                <c:ptCount val="1"/>
                <c:pt idx="0">
                  <c:v>Bonos Externos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'PV Marzo 2026'!$A$8:$A$45</c:f>
              <c:numCache>
                <c:formatCode>General</c:formatCode>
                <c:ptCount val="38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Marzo 2026'!$X$8:$X$45</c:f>
              <c:numCache>
                <c:formatCode>_(* #,##0_);_(* \(#,##0\);_(* "-"_);_(@_)</c:formatCode>
                <c:ptCount val="38"/>
                <c:pt idx="0">
                  <c:v>0</c:v>
                </c:pt>
                <c:pt idx="1">
                  <c:v>0.65993502235436763</c:v>
                </c:pt>
                <c:pt idx="2">
                  <c:v>0.58263741868838981</c:v>
                </c:pt>
                <c:pt idx="3">
                  <c:v>1.3871947922567422</c:v>
                </c:pt>
                <c:pt idx="4">
                  <c:v>1.3938248897660388</c:v>
                </c:pt>
                <c:pt idx="5">
                  <c:v>1.392380126390198</c:v>
                </c:pt>
                <c:pt idx="6">
                  <c:v>1.2730407988075898</c:v>
                </c:pt>
                <c:pt idx="7">
                  <c:v>1.1383237233571291</c:v>
                </c:pt>
                <c:pt idx="8">
                  <c:v>1.0426884335863484</c:v>
                </c:pt>
                <c:pt idx="9">
                  <c:v>0.77809455211301182</c:v>
                </c:pt>
                <c:pt idx="10">
                  <c:v>1.1731367638628969</c:v>
                </c:pt>
                <c:pt idx="11">
                  <c:v>0.63061875255991506</c:v>
                </c:pt>
                <c:pt idx="12">
                  <c:v>0.31969291182301723</c:v>
                </c:pt>
                <c:pt idx="13">
                  <c:v>0</c:v>
                </c:pt>
                <c:pt idx="14">
                  <c:v>0</c:v>
                </c:pt>
                <c:pt idx="15">
                  <c:v>0.86699674516046377</c:v>
                </c:pt>
                <c:pt idx="16">
                  <c:v>0.17844388289413443</c:v>
                </c:pt>
                <c:pt idx="17">
                  <c:v>0</c:v>
                </c:pt>
                <c:pt idx="18">
                  <c:v>0.86699674516046377</c:v>
                </c:pt>
                <c:pt idx="19">
                  <c:v>1.2730799870613259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0.75202708117431938</c:v>
                </c:pt>
                <c:pt idx="24">
                  <c:v>0</c:v>
                </c:pt>
                <c:pt idx="25">
                  <c:v>0.35918842835122672</c:v>
                </c:pt>
                <c:pt idx="26">
                  <c:v>0</c:v>
                </c:pt>
                <c:pt idx="27">
                  <c:v>0.29317494937601085</c:v>
                </c:pt>
                <c:pt idx="28">
                  <c:v>0.56874986482526435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0.26073539915908694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E1-4F2F-9E37-85CD0D4626E9}"/>
            </c:ext>
          </c:extLst>
        </c:ser>
        <c:ser>
          <c:idx val="5"/>
          <c:order val="5"/>
          <c:tx>
            <c:strRef>
              <c:f>'PV Marzo 2026'!$Z$6</c:f>
              <c:strCache>
                <c:ptCount val="1"/>
                <c:pt idx="0">
                  <c:v>Multilaterales**</c:v>
                </c:pt>
              </c:strCache>
            </c:strRef>
          </c:tx>
          <c:spPr>
            <a:solidFill>
              <a:srgbClr val="FFD3A7"/>
            </a:solidFill>
            <a:ln>
              <a:noFill/>
            </a:ln>
            <a:effectLst/>
          </c:spPr>
          <c:invertIfNegative val="0"/>
          <c:cat>
            <c:numRef>
              <c:f>'PV Marzo 2026'!$A$8:$A$45</c:f>
              <c:numCache>
                <c:formatCode>General</c:formatCode>
                <c:ptCount val="38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Marzo 2026'!$Z$8:$Z$46</c:f>
              <c:numCache>
                <c:formatCode>_(* #,##0_);_(* \(#,##0\);_(* "-"_);_(@_)</c:formatCode>
                <c:ptCount val="39"/>
                <c:pt idx="0">
                  <c:v>0.40498886924740102</c:v>
                </c:pt>
                <c:pt idx="1">
                  <c:v>0.87683944664646596</c:v>
                </c:pt>
                <c:pt idx="2">
                  <c:v>1.2295829809685097</c:v>
                </c:pt>
                <c:pt idx="3">
                  <c:v>1.0160647598986241</c:v>
                </c:pt>
                <c:pt idx="4">
                  <c:v>1.0082152562170175</c:v>
                </c:pt>
                <c:pt idx="5">
                  <c:v>1.2119045036362419</c:v>
                </c:pt>
                <c:pt idx="6">
                  <c:v>0.79792119563984742</c:v>
                </c:pt>
                <c:pt idx="7">
                  <c:v>0.81124773419454577</c:v>
                </c:pt>
                <c:pt idx="8">
                  <c:v>0.73941332524885861</c:v>
                </c:pt>
                <c:pt idx="9">
                  <c:v>0.85592800323711182</c:v>
                </c:pt>
                <c:pt idx="10">
                  <c:v>1.2642496143507824</c:v>
                </c:pt>
                <c:pt idx="11">
                  <c:v>0.43447741639677268</c:v>
                </c:pt>
                <c:pt idx="12">
                  <c:v>0.86893617361402919</c:v>
                </c:pt>
                <c:pt idx="13">
                  <c:v>0.50057320722522647</c:v>
                </c:pt>
                <c:pt idx="14">
                  <c:v>0.55852913970566032</c:v>
                </c:pt>
                <c:pt idx="15">
                  <c:v>0.17754001732168975</c:v>
                </c:pt>
                <c:pt idx="16">
                  <c:v>0.11282945708010653</c:v>
                </c:pt>
                <c:pt idx="17">
                  <c:v>4.7858112623104125E-2</c:v>
                </c:pt>
                <c:pt idx="18">
                  <c:v>3.3931472394009621E-2</c:v>
                </c:pt>
                <c:pt idx="19">
                  <c:v>3.071448692668451E-2</c:v>
                </c:pt>
                <c:pt idx="20">
                  <c:v>2.8552890389560198E-2</c:v>
                </c:pt>
                <c:pt idx="21">
                  <c:v>2.6579510726273622E-2</c:v>
                </c:pt>
                <c:pt idx="22">
                  <c:v>2.6367655676154487E-2</c:v>
                </c:pt>
                <c:pt idx="23">
                  <c:v>2.5713418764739617E-2</c:v>
                </c:pt>
                <c:pt idx="24">
                  <c:v>2.1027960386914717E-2</c:v>
                </c:pt>
                <c:pt idx="25">
                  <c:v>1.6550839441649354E-2</c:v>
                </c:pt>
                <c:pt idx="26">
                  <c:v>1.6550839441649364E-2</c:v>
                </c:pt>
                <c:pt idx="27">
                  <c:v>1.6550839441649354E-2</c:v>
                </c:pt>
                <c:pt idx="28">
                  <c:v>1.6550839441649354E-2</c:v>
                </c:pt>
                <c:pt idx="29">
                  <c:v>1.6550839441649364E-2</c:v>
                </c:pt>
                <c:pt idx="30">
                  <c:v>1.6550839441649364E-2</c:v>
                </c:pt>
                <c:pt idx="31">
                  <c:v>1.6550839441649364E-2</c:v>
                </c:pt>
                <c:pt idx="32">
                  <c:v>1.6550839441649364E-2</c:v>
                </c:pt>
                <c:pt idx="33">
                  <c:v>1.2255076911725173E-2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E1-4F2F-9E37-85CD0D4626E9}"/>
            </c:ext>
          </c:extLst>
        </c:ser>
        <c:ser>
          <c:idx val="7"/>
          <c:order val="7"/>
          <c:tx>
            <c:strRef>
              <c:f>'PV Marzo 2026'!$Y$6</c:f>
              <c:strCache>
                <c:ptCount val="1"/>
                <c:pt idx="0">
                  <c:v>TRS</c:v>
                </c:pt>
              </c:strCache>
            </c:strRef>
          </c:tx>
          <c:spPr>
            <a:solidFill>
              <a:schemeClr val="bg2"/>
            </a:solidFill>
            <a:ln w="25400">
              <a:noFill/>
            </a:ln>
            <a:effectLst/>
          </c:spPr>
          <c:invertIfNegative val="0"/>
          <c:cat>
            <c:numRef>
              <c:f>'PV Marzo 2026'!$A$8:$A$45</c:f>
              <c:numCache>
                <c:formatCode>General</c:formatCode>
                <c:ptCount val="38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Marzo 2026'!$Y$8:$Y$47</c:f>
              <c:numCache>
                <c:formatCode>_(* #,##0_);_(* \(#,##0\);_(* "-"_);_(@_)</c:formatCode>
                <c:ptCount val="40"/>
                <c:pt idx="0">
                  <c:v>2.5883431177093725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BE1-4F2F-9E37-85CD0D462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7"/>
        <c:overlap val="100"/>
        <c:axId val="747331615"/>
        <c:axId val="747338687"/>
      </c:barChart>
      <c:lineChart>
        <c:grouping val="standard"/>
        <c:varyColors val="0"/>
        <c:ser>
          <c:idx val="0"/>
          <c:order val="0"/>
          <c:tx>
            <c:v>Total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'PV Marzo 2026'!$A$8:$A$44</c:f>
              <c:numCache>
                <c:formatCode>General</c:formatCode>
                <c:ptCount val="3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Marzo 2026'!$AA$8:$AA$45</c:f>
              <c:numCache>
                <c:formatCode>_(* #,##0.0_);_(* \(#,##0.0\);_(* "-"_);_(@_)</c:formatCode>
                <c:ptCount val="38"/>
                <c:pt idx="0">
                  <c:v>3.5109978501775045</c:v>
                </c:pt>
                <c:pt idx="1">
                  <c:v>5.4877183646411272</c:v>
                </c:pt>
                <c:pt idx="2">
                  <c:v>5.3279754243640509</c:v>
                </c:pt>
                <c:pt idx="3">
                  <c:v>8.7025106903438036</c:v>
                </c:pt>
                <c:pt idx="4">
                  <c:v>6.3472046211740611</c:v>
                </c:pt>
                <c:pt idx="5">
                  <c:v>8.0906618246583086</c:v>
                </c:pt>
                <c:pt idx="6">
                  <c:v>4.681111539881937</c:v>
                </c:pt>
                <c:pt idx="7">
                  <c:v>8.2413735532165067</c:v>
                </c:pt>
                <c:pt idx="8">
                  <c:v>3.2677415183412979</c:v>
                </c:pt>
                <c:pt idx="9">
                  <c:v>8.0829444920829427</c:v>
                </c:pt>
                <c:pt idx="10">
                  <c:v>4.2895435710886751</c:v>
                </c:pt>
                <c:pt idx="11">
                  <c:v>5.3174096473248103</c:v>
                </c:pt>
                <c:pt idx="12">
                  <c:v>1.1886290854370465</c:v>
                </c:pt>
                <c:pt idx="13">
                  <c:v>0.50057320722522647</c:v>
                </c:pt>
                <c:pt idx="14">
                  <c:v>2.7207341452614249</c:v>
                </c:pt>
                <c:pt idx="15">
                  <c:v>1.7447608530035315</c:v>
                </c:pt>
                <c:pt idx="16">
                  <c:v>4.7437404022997303</c:v>
                </c:pt>
                <c:pt idx="17">
                  <c:v>4.7858112623104125E-2</c:v>
                </c:pt>
                <c:pt idx="18">
                  <c:v>0.90092821755447339</c:v>
                </c:pt>
                <c:pt idx="19">
                  <c:v>1.3037944739880103</c:v>
                </c:pt>
                <c:pt idx="20">
                  <c:v>3.6659679441894513</c:v>
                </c:pt>
                <c:pt idx="21">
                  <c:v>2.6579510726273622E-2</c:v>
                </c:pt>
                <c:pt idx="22">
                  <c:v>2.6367655676154487E-2</c:v>
                </c:pt>
                <c:pt idx="23">
                  <c:v>3.8674830021775755</c:v>
                </c:pt>
                <c:pt idx="24">
                  <c:v>2.0898643837240183</c:v>
                </c:pt>
                <c:pt idx="25">
                  <c:v>0.37573926779287609</c:v>
                </c:pt>
                <c:pt idx="26">
                  <c:v>1.6550839441649364E-2</c:v>
                </c:pt>
                <c:pt idx="27">
                  <c:v>0.30972578881766022</c:v>
                </c:pt>
                <c:pt idx="28">
                  <c:v>0.58530070426691372</c:v>
                </c:pt>
                <c:pt idx="29">
                  <c:v>1.0502848736784656</c:v>
                </c:pt>
                <c:pt idx="30">
                  <c:v>1.6550839441649364E-2</c:v>
                </c:pt>
                <c:pt idx="31">
                  <c:v>1.6550839441649364E-2</c:v>
                </c:pt>
                <c:pt idx="32">
                  <c:v>1.0114722933289158</c:v>
                </c:pt>
                <c:pt idx="33">
                  <c:v>1.2255076911725173E-2</c:v>
                </c:pt>
                <c:pt idx="34">
                  <c:v>0</c:v>
                </c:pt>
                <c:pt idx="35">
                  <c:v>0.26073539915908694</c:v>
                </c:pt>
                <c:pt idx="36">
                  <c:v>2.1703599865383505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BE1-4F2F-9E37-85CD0D4626E9}"/>
            </c:ext>
          </c:extLst>
        </c:ser>
        <c:ser>
          <c:idx val="6"/>
          <c:order val="6"/>
          <c:tx>
            <c:strRef>
              <c:f>'PV Febrero 2026'!$AB$6</c:f>
              <c:strCache>
                <c:ptCount val="1"/>
                <c:pt idx="0">
                  <c:v>Lineamiento prudencial EGDMP</c:v>
                </c:pt>
              </c:strCache>
            </c:strRef>
          </c:tx>
          <c:spPr>
            <a:ln w="28575" cap="rnd">
              <a:solidFill>
                <a:schemeClr val="tx1">
                  <a:lumMod val="50000"/>
                  <a:lumOff val="5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'PV Marzo 2026'!$A$8:$A$44</c:f>
              <c:numCache>
                <c:formatCode>General</c:formatCode>
                <c:ptCount val="3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</c:numCache>
            </c:numRef>
          </c:cat>
          <c:val>
            <c:numRef>
              <c:f>'PV Febrero 2026'!$AB$8:$AB$44</c:f>
              <c:numCache>
                <c:formatCode>General</c:formatCode>
                <c:ptCount val="37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BE1-4F2F-9E37-85CD0D462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331615"/>
        <c:axId val="747338687"/>
      </c:lineChart>
      <c:catAx>
        <c:axId val="747331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CO"/>
          </a:p>
        </c:txPr>
        <c:crossAx val="747338687"/>
        <c:crossesAt val="0"/>
        <c:auto val="1"/>
        <c:lblAlgn val="ctr"/>
        <c:lblOffset val="100"/>
        <c:noMultiLvlLbl val="0"/>
      </c:catAx>
      <c:valAx>
        <c:axId val="747338687"/>
        <c:scaling>
          <c:orientation val="minMax"/>
          <c:min val="0"/>
        </c:scaling>
        <c:delete val="1"/>
        <c:axPos val="l"/>
        <c:numFmt formatCode="_(* #,##0_);_(* \(#,##0\);_(* &quot;-&quot;_);_(@_)" sourceLinked="0"/>
        <c:majorTickMark val="none"/>
        <c:minorTickMark val="none"/>
        <c:tickLblPos val="nextTo"/>
        <c:crossAx val="7473316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6"/>
        <c:delete val="1"/>
      </c:legendEntry>
      <c:layout>
        <c:manualLayout>
          <c:xMode val="edge"/>
          <c:yMode val="edge"/>
          <c:x val="6.3258745650880507E-2"/>
          <c:y val="0.81515889787083207"/>
          <c:w val="0.8999999506381744"/>
          <c:h val="3.45612343595971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0</xdr:row>
          <xdr:rowOff>114300</xdr:rowOff>
        </xdr:from>
        <xdr:to>
          <xdr:col>8</xdr:col>
          <xdr:colOff>1609725</xdr:colOff>
          <xdr:row>1</xdr:row>
          <xdr:rowOff>209550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620486</xdr:colOff>
      <xdr:row>37</xdr:row>
      <xdr:rowOff>160564</xdr:rowOff>
    </xdr:from>
    <xdr:to>
      <xdr:col>43</xdr:col>
      <xdr:colOff>120423</xdr:colOff>
      <xdr:row>71</xdr:row>
      <xdr:rowOff>89126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0</xdr:row>
          <xdr:rowOff>114300</xdr:rowOff>
        </xdr:from>
        <xdr:to>
          <xdr:col>8</xdr:col>
          <xdr:colOff>1609725</xdr:colOff>
          <xdr:row>1</xdr:row>
          <xdr:rowOff>209550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585107</xdr:colOff>
      <xdr:row>4</xdr:row>
      <xdr:rowOff>122463</xdr:rowOff>
    </xdr:from>
    <xdr:to>
      <xdr:col>43</xdr:col>
      <xdr:colOff>85044</xdr:colOff>
      <xdr:row>35</xdr:row>
      <xdr:rowOff>37418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0.85885</cdr:y>
    </cdr:from>
    <cdr:to>
      <cdr:x>0.73823</cdr:x>
      <cdr:y>0.99871</cdr:y>
    </cdr:to>
    <cdr:sp macro="" textlink="">
      <cdr:nvSpPr>
        <cdr:cNvPr id="2" name="Rectángulo 1"/>
        <cdr:cNvSpPr/>
      </cdr:nvSpPr>
      <cdr:spPr>
        <a:xfrm xmlns:a="http://schemas.openxmlformats.org/drawingml/2006/main">
          <a:off x="0" y="5342505"/>
          <a:ext cx="7715250" cy="8699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s-CO" sz="105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Fuente:</a:t>
          </a:r>
          <a:r>
            <a:rPr lang="es-CO" sz="105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DGCPTN</a:t>
          </a:r>
        </a:p>
        <a:p xmlns:a="http://schemas.openxmlformats.org/drawingml/2006/main">
          <a:r>
            <a:rPr lang="es-CO" sz="105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No incluye TCO`s. </a:t>
          </a:r>
        </a:p>
        <a:p xmlns:a="http://schemas.openxmlformats.org/drawingml/2006/main">
          <a:r>
            <a:rPr lang="es-CO" sz="105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* Incluye recursos FOME (TDS, FONPET Y FRL).</a:t>
          </a:r>
        </a:p>
        <a:p xmlns:a="http://schemas.openxmlformats.org/drawingml/2006/main">
          <a:r>
            <a:rPr lang="es-CO" sz="105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** Incluye recursos FOME (FAE) </a:t>
          </a:r>
        </a:p>
        <a:p xmlns:a="http://schemas.openxmlformats.org/drawingml/2006/main">
          <a:r>
            <a:rPr lang="es-CO" sz="105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*** Se asume el supuesto de que TDS se prorrogaran hasta 2029 en línea con lo mencionado en el Decreto 685 de 2020.</a:t>
          </a:r>
        </a:p>
        <a:p xmlns:a="http://schemas.openxmlformats.org/drawingml/2006/main">
          <a:r>
            <a:rPr lang="es-CO" sz="105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.</a:t>
          </a:r>
          <a:endParaRPr lang="es-CO" sz="105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0.85885</cdr:y>
    </cdr:from>
    <cdr:to>
      <cdr:x>0.73823</cdr:x>
      <cdr:y>0.99871</cdr:y>
    </cdr:to>
    <cdr:sp macro="" textlink="">
      <cdr:nvSpPr>
        <cdr:cNvPr id="2" name="Rectángulo 1"/>
        <cdr:cNvSpPr/>
      </cdr:nvSpPr>
      <cdr:spPr>
        <a:xfrm xmlns:a="http://schemas.openxmlformats.org/drawingml/2006/main">
          <a:off x="0" y="5342505"/>
          <a:ext cx="7715250" cy="8699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s-CO" sz="105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Fuente: DGCPTN</a:t>
          </a:r>
        </a:p>
        <a:p xmlns:a="http://schemas.openxmlformats.org/drawingml/2006/main">
          <a:r>
            <a:rPr lang="es-CO" sz="105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No incluye TCO`s, Depositos Pasivos del Tesoro, CUN y no CUN </a:t>
          </a:r>
        </a:p>
        <a:p xmlns:a="http://schemas.openxmlformats.org/drawingml/2006/main">
          <a:r>
            <a:rPr lang="es-CO" sz="105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* Incluye recursos FOME (TDS, FONPET Y FRL).</a:t>
          </a:r>
        </a:p>
        <a:p xmlns:a="http://schemas.openxmlformats.org/drawingml/2006/main">
          <a:r>
            <a:rPr lang="es-CO" sz="105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** Incluye recursos FOME (FAE).</a:t>
          </a:r>
        </a:p>
        <a:p xmlns:a="http://schemas.openxmlformats.org/drawingml/2006/main">
          <a:r>
            <a:rPr lang="es-CO" sz="105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*** Se asume el supuesto de que TDS se prorrogaran hasta 2029 en línea con lo mencionado en el Decreto 685 de 2020.</a:t>
          </a:r>
        </a:p>
      </cdr:txBody>
    </cdr:sp>
  </cdr:relSizeAnchor>
  <cdr:relSizeAnchor xmlns:cdr="http://schemas.openxmlformats.org/drawingml/2006/chartDrawing">
    <cdr:from>
      <cdr:x>0.74941</cdr:x>
      <cdr:y>0.18056</cdr:y>
    </cdr:from>
    <cdr:to>
      <cdr:x>0.95952</cdr:x>
      <cdr:y>0.23155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031DBA4D-9E72-A765-7A7C-E0FDA3C51F03}"/>
            </a:ext>
          </a:extLst>
        </cdr:cNvPr>
        <cdr:cNvSpPr txBox="1"/>
      </cdr:nvSpPr>
      <cdr:spPr>
        <a:xfrm xmlns:a="http://schemas.openxmlformats.org/drawingml/2006/main">
          <a:off x="7620000" y="1156608"/>
          <a:ext cx="2136322" cy="3265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1100">
              <a:solidFill>
                <a:schemeClr val="bg2">
                  <a:lumMod val="50000"/>
                </a:schemeClr>
              </a:solidFill>
            </a:rPr>
            <a:t>Lineamiento</a:t>
          </a:r>
          <a:r>
            <a:rPr lang="es-CO" sz="1100" baseline="0">
              <a:solidFill>
                <a:schemeClr val="bg2">
                  <a:lumMod val="50000"/>
                </a:schemeClr>
              </a:solidFill>
            </a:rPr>
            <a:t> prudencial EGDMP</a:t>
          </a:r>
          <a:endParaRPr lang="es-CO" sz="1100">
            <a:solidFill>
              <a:schemeClr val="bg2">
                <a:lumMod val="50000"/>
              </a:schemeClr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0</xdr:row>
          <xdr:rowOff>114300</xdr:rowOff>
        </xdr:from>
        <xdr:to>
          <xdr:col>8</xdr:col>
          <xdr:colOff>1609725</xdr:colOff>
          <xdr:row>1</xdr:row>
          <xdr:rowOff>209550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620486</xdr:colOff>
      <xdr:row>37</xdr:row>
      <xdr:rowOff>160564</xdr:rowOff>
    </xdr:from>
    <xdr:to>
      <xdr:col>43</xdr:col>
      <xdr:colOff>120423</xdr:colOff>
      <xdr:row>71</xdr:row>
      <xdr:rowOff>89126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A63C02-045B-4F5F-9A73-201A579FBE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0</xdr:row>
          <xdr:rowOff>114300</xdr:rowOff>
        </xdr:from>
        <xdr:to>
          <xdr:col>8</xdr:col>
          <xdr:colOff>1609725</xdr:colOff>
          <xdr:row>1</xdr:row>
          <xdr:rowOff>209550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585107</xdr:colOff>
      <xdr:row>4</xdr:row>
      <xdr:rowOff>122463</xdr:rowOff>
    </xdr:from>
    <xdr:to>
      <xdr:col>43</xdr:col>
      <xdr:colOff>85044</xdr:colOff>
      <xdr:row>35</xdr:row>
      <xdr:rowOff>37418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D4F4C7D-3E32-4C82-A496-B7131199ED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0.85885</cdr:y>
    </cdr:from>
    <cdr:to>
      <cdr:x>0.73823</cdr:x>
      <cdr:y>0.99871</cdr:y>
    </cdr:to>
    <cdr:sp macro="" textlink="">
      <cdr:nvSpPr>
        <cdr:cNvPr id="2" name="Rectángulo 1"/>
        <cdr:cNvSpPr/>
      </cdr:nvSpPr>
      <cdr:spPr>
        <a:xfrm xmlns:a="http://schemas.openxmlformats.org/drawingml/2006/main">
          <a:off x="0" y="5342505"/>
          <a:ext cx="7715250" cy="8699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s-CO" sz="105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Fuente:</a:t>
          </a:r>
          <a:r>
            <a:rPr lang="es-CO" sz="105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DGCPTN</a:t>
          </a:r>
        </a:p>
        <a:p xmlns:a="http://schemas.openxmlformats.org/drawingml/2006/main">
          <a:r>
            <a:rPr lang="es-CO" sz="105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No incluye TCO`s. </a:t>
          </a:r>
        </a:p>
        <a:p xmlns:a="http://schemas.openxmlformats.org/drawingml/2006/main">
          <a:r>
            <a:rPr lang="es-CO" sz="105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* Incluye recursos FOME (TDS, FONPET Y FRL).</a:t>
          </a:r>
        </a:p>
        <a:p xmlns:a="http://schemas.openxmlformats.org/drawingml/2006/main">
          <a:r>
            <a:rPr lang="es-CO" sz="105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** Incluye recursos FOME (FAE) y LCF del FMI.</a:t>
          </a:r>
        </a:p>
        <a:p xmlns:a="http://schemas.openxmlformats.org/drawingml/2006/main">
          <a:r>
            <a:rPr lang="es-CO" sz="105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*** Se asume el supuesto de que TDS se prorrogaran hasta 2029 en línea con lo mencionado en el Decreto 685 de 2020.</a:t>
          </a:r>
        </a:p>
        <a:p xmlns:a="http://schemas.openxmlformats.org/drawingml/2006/main">
          <a:r>
            <a:rPr lang="es-CO" sz="105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.</a:t>
          </a:r>
          <a:endParaRPr lang="es-CO" sz="105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0.85885</cdr:y>
    </cdr:from>
    <cdr:to>
      <cdr:x>0.73823</cdr:x>
      <cdr:y>0.99871</cdr:y>
    </cdr:to>
    <cdr:sp macro="" textlink="">
      <cdr:nvSpPr>
        <cdr:cNvPr id="2" name="Rectángulo 1"/>
        <cdr:cNvSpPr/>
      </cdr:nvSpPr>
      <cdr:spPr>
        <a:xfrm xmlns:a="http://schemas.openxmlformats.org/drawingml/2006/main">
          <a:off x="0" y="5342505"/>
          <a:ext cx="7715250" cy="8699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s-CO" sz="105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Fuente: DGCPTN</a:t>
          </a:r>
        </a:p>
        <a:p xmlns:a="http://schemas.openxmlformats.org/drawingml/2006/main">
          <a:r>
            <a:rPr lang="es-CO" sz="105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No incluye TCO`s, Depositos Pasivos del Tesoro, CUN y no CUN </a:t>
          </a:r>
        </a:p>
        <a:p xmlns:a="http://schemas.openxmlformats.org/drawingml/2006/main">
          <a:r>
            <a:rPr lang="es-CO" sz="105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* Incluye recursos FOME (TDS, FONPET Y FRL).</a:t>
          </a:r>
        </a:p>
        <a:p xmlns:a="http://schemas.openxmlformats.org/drawingml/2006/main">
          <a:r>
            <a:rPr lang="es-CO" sz="105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** Incluye recursos FOME (FAE).</a:t>
          </a:r>
        </a:p>
        <a:p xmlns:a="http://schemas.openxmlformats.org/drawingml/2006/main">
          <a:r>
            <a:rPr lang="es-CO" sz="105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*** Se asume el supuesto de que TDS se prorrogaran hasta 2029 en línea con lo mencionado en el Decreto 685 de 2020.</a:t>
          </a:r>
        </a:p>
      </cdr:txBody>
    </cdr:sp>
  </cdr:relSizeAnchor>
  <cdr:relSizeAnchor xmlns:cdr="http://schemas.openxmlformats.org/drawingml/2006/chartDrawing">
    <cdr:from>
      <cdr:x>0.74941</cdr:x>
      <cdr:y>0.18056</cdr:y>
    </cdr:from>
    <cdr:to>
      <cdr:x>0.95952</cdr:x>
      <cdr:y>0.23155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031DBA4D-9E72-A765-7A7C-E0FDA3C51F03}"/>
            </a:ext>
          </a:extLst>
        </cdr:cNvPr>
        <cdr:cNvSpPr txBox="1"/>
      </cdr:nvSpPr>
      <cdr:spPr>
        <a:xfrm xmlns:a="http://schemas.openxmlformats.org/drawingml/2006/main">
          <a:off x="7620000" y="1156608"/>
          <a:ext cx="2136322" cy="3265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1100">
              <a:solidFill>
                <a:schemeClr val="bg2">
                  <a:lumMod val="50000"/>
                </a:schemeClr>
              </a:solidFill>
            </a:rPr>
            <a:t>Lineamiento</a:t>
          </a:r>
          <a:r>
            <a:rPr lang="es-CO" sz="1100" baseline="0">
              <a:solidFill>
                <a:schemeClr val="bg2">
                  <a:lumMod val="50000"/>
                </a:schemeClr>
              </a:solidFill>
            </a:rPr>
            <a:t> prudencial EGDMP</a:t>
          </a:r>
          <a:endParaRPr lang="es-CO" sz="1100">
            <a:solidFill>
              <a:schemeClr val="bg2">
                <a:lumMod val="50000"/>
              </a:schemeClr>
            </a:solidFill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0</xdr:row>
          <xdr:rowOff>114300</xdr:rowOff>
        </xdr:from>
        <xdr:to>
          <xdr:col>8</xdr:col>
          <xdr:colOff>1609725</xdr:colOff>
          <xdr:row>1</xdr:row>
          <xdr:rowOff>209550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620486</xdr:colOff>
      <xdr:row>37</xdr:row>
      <xdr:rowOff>160564</xdr:rowOff>
    </xdr:from>
    <xdr:to>
      <xdr:col>43</xdr:col>
      <xdr:colOff>120423</xdr:colOff>
      <xdr:row>71</xdr:row>
      <xdr:rowOff>89126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08B05A2-D5C1-48BC-919D-C523B7425E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0</xdr:row>
          <xdr:rowOff>114300</xdr:rowOff>
        </xdr:from>
        <xdr:to>
          <xdr:col>8</xdr:col>
          <xdr:colOff>1609725</xdr:colOff>
          <xdr:row>1</xdr:row>
          <xdr:rowOff>209550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585107</xdr:colOff>
      <xdr:row>4</xdr:row>
      <xdr:rowOff>122463</xdr:rowOff>
    </xdr:from>
    <xdr:to>
      <xdr:col>43</xdr:col>
      <xdr:colOff>85044</xdr:colOff>
      <xdr:row>35</xdr:row>
      <xdr:rowOff>37418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DEF54FD-AA62-4C72-9D14-14030799D7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0.85885</cdr:y>
    </cdr:from>
    <cdr:to>
      <cdr:x>0.73823</cdr:x>
      <cdr:y>0.99871</cdr:y>
    </cdr:to>
    <cdr:sp macro="" textlink="">
      <cdr:nvSpPr>
        <cdr:cNvPr id="2" name="Rectángulo 1"/>
        <cdr:cNvSpPr/>
      </cdr:nvSpPr>
      <cdr:spPr>
        <a:xfrm xmlns:a="http://schemas.openxmlformats.org/drawingml/2006/main">
          <a:off x="0" y="5342505"/>
          <a:ext cx="7715250" cy="8699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s-CO" sz="105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Fuente:</a:t>
          </a:r>
          <a:r>
            <a:rPr lang="es-CO" sz="105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DGCPTN</a:t>
          </a:r>
        </a:p>
        <a:p xmlns:a="http://schemas.openxmlformats.org/drawingml/2006/main">
          <a:r>
            <a:rPr lang="es-CO" sz="105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No incluye TCO`s. </a:t>
          </a:r>
        </a:p>
        <a:p xmlns:a="http://schemas.openxmlformats.org/drawingml/2006/main">
          <a:r>
            <a:rPr lang="es-CO" sz="105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* Incluye recursos FOME (TDS, FONPET Y FRL).</a:t>
          </a:r>
        </a:p>
        <a:p xmlns:a="http://schemas.openxmlformats.org/drawingml/2006/main">
          <a:r>
            <a:rPr lang="es-CO" sz="105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** Incluye recursos FOME (FAE) y LCF del FMI.</a:t>
          </a:r>
        </a:p>
        <a:p xmlns:a="http://schemas.openxmlformats.org/drawingml/2006/main">
          <a:r>
            <a:rPr lang="es-CO" sz="105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*** Se asume el supuesto de que TDS se prorrogaran hasta 2029 en línea con lo mencionado en el Decreto 685 de 2020.</a:t>
          </a:r>
        </a:p>
        <a:p xmlns:a="http://schemas.openxmlformats.org/drawingml/2006/main">
          <a:r>
            <a:rPr lang="es-CO" sz="105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.</a:t>
          </a:r>
          <a:endParaRPr lang="es-CO" sz="105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0.85885</cdr:y>
    </cdr:from>
    <cdr:to>
      <cdr:x>0.73823</cdr:x>
      <cdr:y>0.99871</cdr:y>
    </cdr:to>
    <cdr:sp macro="" textlink="">
      <cdr:nvSpPr>
        <cdr:cNvPr id="2" name="Rectángulo 1"/>
        <cdr:cNvSpPr/>
      </cdr:nvSpPr>
      <cdr:spPr>
        <a:xfrm xmlns:a="http://schemas.openxmlformats.org/drawingml/2006/main">
          <a:off x="0" y="5342505"/>
          <a:ext cx="7715250" cy="8699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s-CO" sz="105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Fuente: DGCPTN</a:t>
          </a:r>
        </a:p>
        <a:p xmlns:a="http://schemas.openxmlformats.org/drawingml/2006/main">
          <a:r>
            <a:rPr lang="es-CO" sz="105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No incluye TCO`s, Depositos Pasivos del Tesoro, CUN y no CUN </a:t>
          </a:r>
        </a:p>
        <a:p xmlns:a="http://schemas.openxmlformats.org/drawingml/2006/main">
          <a:r>
            <a:rPr lang="es-CO" sz="105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* Incluye recursos FOME (TDS, FONPET Y FRL).</a:t>
          </a:r>
        </a:p>
        <a:p xmlns:a="http://schemas.openxmlformats.org/drawingml/2006/main">
          <a:r>
            <a:rPr lang="es-CO" sz="105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** Incluye recursos FOME (FAE).</a:t>
          </a:r>
        </a:p>
        <a:p xmlns:a="http://schemas.openxmlformats.org/drawingml/2006/main">
          <a:r>
            <a:rPr lang="es-CO" sz="105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*** Se asume el supuesto de que TDS se prorrogaran hasta 2029 en línea con lo mencionado en el Decreto 685 de 2020.</a:t>
          </a:r>
        </a:p>
      </cdr:txBody>
    </cdr:sp>
  </cdr:relSizeAnchor>
  <cdr:relSizeAnchor xmlns:cdr="http://schemas.openxmlformats.org/drawingml/2006/chartDrawing">
    <cdr:from>
      <cdr:x>0.74941</cdr:x>
      <cdr:y>0.18056</cdr:y>
    </cdr:from>
    <cdr:to>
      <cdr:x>0.95952</cdr:x>
      <cdr:y>0.23155</cdr:y>
    </cdr:to>
    <cdr:sp macro="" textlink="">
      <cdr:nvSpPr>
        <cdr:cNvPr id="3" name="CuadroTexto 2">
          <a:extLst xmlns:a="http://schemas.openxmlformats.org/drawingml/2006/main">
            <a:ext uri="{FF2B5EF4-FFF2-40B4-BE49-F238E27FC236}">
              <a16:creationId xmlns:a16="http://schemas.microsoft.com/office/drawing/2014/main" id="{031DBA4D-9E72-A765-7A7C-E0FDA3C51F03}"/>
            </a:ext>
          </a:extLst>
        </cdr:cNvPr>
        <cdr:cNvSpPr txBox="1"/>
      </cdr:nvSpPr>
      <cdr:spPr>
        <a:xfrm xmlns:a="http://schemas.openxmlformats.org/drawingml/2006/main">
          <a:off x="7620000" y="1156608"/>
          <a:ext cx="2136322" cy="3265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1100">
              <a:solidFill>
                <a:schemeClr val="bg2">
                  <a:lumMod val="50000"/>
                </a:schemeClr>
              </a:solidFill>
            </a:rPr>
            <a:t>Lineamiento</a:t>
          </a:r>
          <a:r>
            <a:rPr lang="es-CO" sz="1100" baseline="0">
              <a:solidFill>
                <a:schemeClr val="bg2">
                  <a:lumMod val="50000"/>
                </a:schemeClr>
              </a:solidFill>
            </a:rPr>
            <a:t> prudencial EGDMP</a:t>
          </a:r>
          <a:endParaRPr lang="es-CO" sz="1100">
            <a:solidFill>
              <a:schemeClr val="bg2">
                <a:lumMod val="50000"/>
              </a:schemeClr>
            </a:solidFill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Perfil%20Total/2026/Perfil%20Deuda%20Bruta%20GNC%20Marzo%202026.xls" TargetMode="External"/><Relationship Id="rId2" Type="http://schemas.openxmlformats.org/officeDocument/2006/relationships/externalLinkPath" Target="file:///Z:\Deuda\Informes\Perfiles\GNC\Perfil%20Total\2026\Perfil%20Deuda%20Bruta%20GNC%20Marzo%202026.xls" TargetMode="External"/><Relationship Id="rId1" Type="http://schemas.openxmlformats.org/officeDocument/2006/relationships/externalLinkPath" Target="/Deuda/Informes/Perfiles/GNC/Perfil%20Total/2026/Perfil%20Deuda%20Bruta%20GNC%20Marzo%202026.xls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Interna/2026/Interna%20GNC%202026-03-31.xlsm" TargetMode="External"/><Relationship Id="rId2" Type="http://schemas.openxmlformats.org/officeDocument/2006/relationships/externalLinkPath" Target="file:///Z:\Deuda\Informes\Perfiles\GNC\Interna\2026\Interna%20GNC%202026-03-31.xlsm" TargetMode="External"/><Relationship Id="rId1" Type="http://schemas.openxmlformats.org/officeDocument/2006/relationships/externalLinkPath" Target="/Deuda/Informes/Perfiles/GNC/Interna/2026/Interna%20GNC%202026-03-31.xlsm" TargetMode="External"/></Relationships>
</file>

<file path=xl/externalLinks/_rels/externalLink3.xml.rels><?xml version="1.0" encoding="UTF-8" standalone="yes"?>
<Relationships xmlns="http://schemas.openxmlformats.org/package/2006/relationships"><Relationship Id="rId3" Type="http://schemas.openxmlformats.org/officeDocument/2006/relationships/externalLinkPath" Target="../Archivo%20Base/Perfil%20de%20vencimientos%20BASE.xlsm" TargetMode="External"/><Relationship Id="rId2" Type="http://schemas.openxmlformats.org/officeDocument/2006/relationships/externalLinkPath" Target="file:///Z:\Deuda\Informes\Perfiles\GNC\Perfil%20de%20Vencimientos\Archivo%20Base\Perfil%20de%20vencimientos%20BASE.xlsm" TargetMode="External"/><Relationship Id="rId1" Type="http://schemas.openxmlformats.org/officeDocument/2006/relationships/externalLinkPath" Target="/Deuda/Informes/Perfiles/GNC/Perfil%20de%20Vencimientos/Archivo%20Base/Perfil%20de%20vencimientos%20BASE.xlsm" TargetMode="External"/></Relationships>
</file>

<file path=xl/externalLinks/_rels/externalLink4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Perfil%20Total/2026/Perfil%20Deuda%20Bruta%20GNC%20Enero%202026.xls" TargetMode="External"/><Relationship Id="rId2" Type="http://schemas.openxmlformats.org/officeDocument/2006/relationships/externalLinkPath" Target="file:///Z:\Deuda\Informes\Perfiles\GNC\Perfil%20Total\2026\Perfil%20Deuda%20Bruta%20GNC%20Enero%202026.xls" TargetMode="External"/><Relationship Id="rId1" Type="http://schemas.openxmlformats.org/officeDocument/2006/relationships/externalLinkPath" Target="/Deuda/Informes/Perfiles/GNC/Perfil%20Total/2026/Perfil%20Deuda%20Bruta%20GNC%20Enero%202026.xls" TargetMode="External"/></Relationships>
</file>

<file path=xl/externalLinks/_rels/externalLink5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Interna/2026/Interna%20GNC%202026-01-31.xlsm" TargetMode="External"/><Relationship Id="rId2" Type="http://schemas.openxmlformats.org/officeDocument/2006/relationships/externalLinkPath" Target="file:///Z:\Deuda\Informes\Perfiles\GNC\Interna\2026\Interna%20GNC%202026-01-31.xlsm" TargetMode="External"/><Relationship Id="rId1" Type="http://schemas.openxmlformats.org/officeDocument/2006/relationships/externalLinkPath" Target="/Deuda/Informes/Perfiles/GNC/Interna/2026/Interna%20GNC%202026-01-31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Informes\Perfiles\GNC\Perfil%20de%20Vencimientos\2024\Perfil%20de%20Vencimientos%202024.xlsx" TargetMode="External"/></Relationships>
</file>

<file path=xl/externalLinks/_rels/externalLink7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Perfil%20Total/2026/Perfil%20Deuda%20Bruta%20GNC%20Febrero%202026.xls" TargetMode="External"/><Relationship Id="rId2" Type="http://schemas.openxmlformats.org/officeDocument/2006/relationships/externalLinkPath" Target="file:///Z:\Deuda\Informes\Perfiles\GNC\Perfil%20Total\2026\Perfil%20Deuda%20Bruta%20GNC%20Febrero%202026.xls" TargetMode="External"/><Relationship Id="rId1" Type="http://schemas.openxmlformats.org/officeDocument/2006/relationships/externalLinkPath" Target="/Deuda/Informes/Perfiles/GNC/Perfil%20Total/2026/Perfil%20Deuda%20Bruta%20GNC%20Febrero%202026.xls" TargetMode="External"/></Relationships>
</file>

<file path=xl/externalLinks/_rels/externalLink8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Interna/2026/Interna%20GNC%202026-02-28.xlsm" TargetMode="External"/><Relationship Id="rId2" Type="http://schemas.openxmlformats.org/officeDocument/2006/relationships/externalLinkPath" Target="file:///Z:\Deuda\Informes\Perfiles\GNC\Interna\2026\Interna%20GNC%202026-02-28.xlsm" TargetMode="External"/><Relationship Id="rId1" Type="http://schemas.openxmlformats.org/officeDocument/2006/relationships/externalLinkPath" Target="/Deuda/Informes/Perfiles/GNC/Interna/2026/Interna%20GNC%202026-02-2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Title Page"/>
      <sheetName val="Resumen-Total"/>
      <sheetName val="Total Gra."/>
      <sheetName val="Resumen Interna"/>
      <sheetName val="Interna Gra."/>
      <sheetName val="Resumen Externa"/>
      <sheetName val="Externa Gra."/>
      <sheetName val="Title Data (HIDE)"/>
    </sheetNames>
    <sheetDataSet>
      <sheetData sheetId="0"/>
      <sheetData sheetId="1">
        <row r="11">
          <cell r="E11">
            <v>3669.9600000663627</v>
          </cell>
        </row>
        <row r="31">
          <cell r="K31">
            <v>7463.5318187680214</v>
          </cell>
        </row>
        <row r="46">
          <cell r="C46">
            <v>163991644.17487553</v>
          </cell>
          <cell r="J46">
            <v>8631.3241764326558</v>
          </cell>
        </row>
        <row r="47">
          <cell r="C47">
            <v>50268039.517460003</v>
          </cell>
          <cell r="J47">
            <v>4431.3155660013672</v>
          </cell>
        </row>
        <row r="48">
          <cell r="C48">
            <v>37205100.200000003</v>
          </cell>
          <cell r="J48">
            <v>5225.5686361356911</v>
          </cell>
        </row>
        <row r="49">
          <cell r="C49">
            <v>56919445.665921196</v>
          </cell>
          <cell r="J49">
            <v>6929.8401798226205</v>
          </cell>
        </row>
        <row r="50">
          <cell r="C50">
            <v>41749279.620865509</v>
          </cell>
          <cell r="J50">
            <v>6926.3240011889729</v>
          </cell>
        </row>
        <row r="51">
          <cell r="C51">
            <v>58058997.804682396</v>
          </cell>
          <cell r="J51">
            <v>7509.4994432315852</v>
          </cell>
        </row>
        <row r="52">
          <cell r="C52">
            <v>27621627.414999999</v>
          </cell>
          <cell r="J52">
            <v>5971.6544670076682</v>
          </cell>
        </row>
        <row r="53">
          <cell r="C53">
            <v>66582320.372927204</v>
          </cell>
          <cell r="J53">
            <v>5621.6227697338354</v>
          </cell>
        </row>
        <row r="54">
          <cell r="C54">
            <v>15721623.300000001</v>
          </cell>
          <cell r="J54">
            <v>5138.721018224167</v>
          </cell>
        </row>
        <row r="55">
          <cell r="C55">
            <v>68245024.227223605</v>
          </cell>
          <cell r="J55">
            <v>4711.7320926265375</v>
          </cell>
        </row>
        <row r="56">
          <cell r="C56">
            <v>19600254.699999999</v>
          </cell>
          <cell r="J56">
            <v>7028.2454686798374</v>
          </cell>
        </row>
        <row r="57">
          <cell r="C57">
            <v>44999650.980424799</v>
          </cell>
          <cell r="J57">
            <v>3071.2230896540436</v>
          </cell>
        </row>
        <row r="58">
          <cell r="C58">
            <v>0</v>
          </cell>
          <cell r="J58">
            <v>3427.432375242236</v>
          </cell>
        </row>
        <row r="59">
          <cell r="C59">
            <v>0</v>
          </cell>
          <cell r="J59">
            <v>1443.4114372960544</v>
          </cell>
        </row>
        <row r="60">
          <cell r="C60">
            <v>22881302.399999999</v>
          </cell>
          <cell r="J60">
            <v>1610.5283636396111</v>
          </cell>
        </row>
        <row r="61">
          <cell r="C61">
            <v>7410046.2822980005</v>
          </cell>
          <cell r="J61">
            <v>3011.9396881035309</v>
          </cell>
        </row>
        <row r="62">
          <cell r="C62">
            <v>47117754.799999997</v>
          </cell>
          <cell r="J62">
            <v>839.89167664156582</v>
          </cell>
        </row>
        <row r="63">
          <cell r="C63">
            <v>0</v>
          </cell>
          <cell r="J63">
            <v>137.99968941707658</v>
          </cell>
        </row>
        <row r="64">
          <cell r="C64">
            <v>0</v>
          </cell>
          <cell r="J64">
            <v>2597.8419832122022</v>
          </cell>
        </row>
        <row r="65">
          <cell r="C65">
            <v>0</v>
          </cell>
          <cell r="J65">
            <v>3759.5137503852561</v>
          </cell>
        </row>
        <row r="66">
          <cell r="C66">
            <v>38492554.399999999</v>
          </cell>
          <cell r="J66">
            <v>82.332749658349698</v>
          </cell>
        </row>
        <row r="67">
          <cell r="C67">
            <v>0</v>
          </cell>
          <cell r="J67">
            <v>76.642475518619975</v>
          </cell>
        </row>
        <row r="68">
          <cell r="C68">
            <v>0</v>
          </cell>
          <cell r="J68">
            <v>76.031587844295643</v>
          </cell>
        </row>
        <row r="69">
          <cell r="C69">
            <v>32696868.405260399</v>
          </cell>
          <cell r="J69">
            <v>2242.6280844777411</v>
          </cell>
        </row>
        <row r="70">
          <cell r="C70">
            <v>21893239.399999999</v>
          </cell>
          <cell r="J70">
            <v>60.634484801390052</v>
          </cell>
        </row>
        <row r="71">
          <cell r="C71">
            <v>0</v>
          </cell>
          <cell r="J71">
            <v>1083.4506296887371</v>
          </cell>
        </row>
        <row r="72">
          <cell r="C72">
            <v>0</v>
          </cell>
          <cell r="J72">
            <v>47.724629688736989</v>
          </cell>
        </row>
        <row r="73">
          <cell r="C73">
            <v>0</v>
          </cell>
          <cell r="J73">
            <v>893.09962968873697</v>
          </cell>
        </row>
        <row r="74">
          <cell r="C74">
            <v>0</v>
          </cell>
          <cell r="J74">
            <v>1687.724629688737</v>
          </cell>
        </row>
        <row r="75">
          <cell r="C75">
            <v>10939379.465762001</v>
          </cell>
          <cell r="J75">
            <v>47.724629688736989</v>
          </cell>
        </row>
        <row r="76">
          <cell r="C76">
            <v>0</v>
          </cell>
          <cell r="J76">
            <v>47.724629688736989</v>
          </cell>
        </row>
        <row r="77">
          <cell r="C77">
            <v>0</v>
          </cell>
          <cell r="J77">
            <v>47.724629688736989</v>
          </cell>
        </row>
        <row r="78">
          <cell r="C78">
            <v>10528649.5</v>
          </cell>
          <cell r="J78">
            <v>47.724629688736989</v>
          </cell>
        </row>
        <row r="79">
          <cell r="C79">
            <v>0</v>
          </cell>
          <cell r="J79">
            <v>35.337724680434071</v>
          </cell>
        </row>
        <row r="80">
          <cell r="C80">
            <v>0</v>
          </cell>
          <cell r="J80">
            <v>0</v>
          </cell>
        </row>
        <row r="81">
          <cell r="C81">
            <v>0</v>
          </cell>
          <cell r="J81">
            <v>751.83500000000004</v>
          </cell>
        </row>
        <row r="82">
          <cell r="C82">
            <v>22967601.6109672</v>
          </cell>
        </row>
      </sheetData>
      <sheetData sheetId="2"/>
      <sheetData sheetId="3">
        <row r="23">
          <cell r="C23">
            <v>67035660.606794</v>
          </cell>
        </row>
        <row r="24">
          <cell r="C24">
            <v>9741703.4000000004</v>
          </cell>
        </row>
        <row r="25">
          <cell r="C25">
            <v>30461147.964857396</v>
          </cell>
        </row>
        <row r="26">
          <cell r="C26">
            <v>8852660.5672061406</v>
          </cell>
        </row>
      </sheetData>
      <sheetData sheetId="4"/>
      <sheetData sheetId="5">
        <row r="15">
          <cell r="I15">
            <v>0</v>
          </cell>
        </row>
        <row r="16">
          <cell r="I16">
            <v>1902.9339672786971</v>
          </cell>
        </row>
        <row r="17">
          <cell r="I17">
            <v>1680.0449999975353</v>
          </cell>
        </row>
        <row r="18">
          <cell r="I18">
            <v>4000</v>
          </cell>
        </row>
        <row r="19">
          <cell r="I19">
            <v>4019.1179999991505</v>
          </cell>
        </row>
        <row r="20">
          <cell r="I20">
            <v>4014.9520000000002</v>
          </cell>
        </row>
        <row r="21">
          <cell r="I21">
            <v>3670.8349999975353</v>
          </cell>
        </row>
        <row r="22">
          <cell r="I22">
            <v>3282.3760000000002</v>
          </cell>
        </row>
        <row r="23">
          <cell r="I23">
            <v>3006.6099999988105</v>
          </cell>
        </row>
        <row r="24">
          <cell r="I24">
            <v>2243.6489999999999</v>
          </cell>
        </row>
        <row r="25">
          <cell r="I25">
            <v>3382.7599999979602</v>
          </cell>
        </row>
        <row r="26">
          <cell r="I26">
            <v>1818.4</v>
          </cell>
        </row>
        <row r="27">
          <cell r="I27">
            <v>921.83999999864022</v>
          </cell>
        </row>
        <row r="28">
          <cell r="I28">
            <v>0</v>
          </cell>
        </row>
        <row r="29">
          <cell r="I29">
            <v>0</v>
          </cell>
        </row>
        <row r="30">
          <cell r="I30">
            <v>2500</v>
          </cell>
        </row>
        <row r="31">
          <cell r="I31">
            <v>514.54600000000005</v>
          </cell>
        </row>
        <row r="32">
          <cell r="I32">
            <v>0</v>
          </cell>
        </row>
        <row r="33">
          <cell r="I33">
            <v>2500</v>
          </cell>
        </row>
        <row r="34">
          <cell r="I34">
            <v>3670.9479999999999</v>
          </cell>
        </row>
        <row r="35">
          <cell r="I35">
            <v>0</v>
          </cell>
        </row>
        <row r="36">
          <cell r="I36">
            <v>0</v>
          </cell>
        </row>
        <row r="37">
          <cell r="I37">
            <v>0</v>
          </cell>
        </row>
        <row r="38">
          <cell r="I38">
            <v>2168.4830000000002</v>
          </cell>
        </row>
        <row r="39">
          <cell r="I39">
            <v>0</v>
          </cell>
        </row>
        <row r="40">
          <cell r="I40">
            <v>1035.7260000000001</v>
          </cell>
        </row>
        <row r="41">
          <cell r="I41">
            <v>0</v>
          </cell>
        </row>
        <row r="42">
          <cell r="I42">
            <v>845.375</v>
          </cell>
        </row>
        <row r="43">
          <cell r="I43">
            <v>1640</v>
          </cell>
        </row>
        <row r="44">
          <cell r="I44">
            <v>0</v>
          </cell>
        </row>
        <row r="45">
          <cell r="I45">
            <v>0</v>
          </cell>
        </row>
        <row r="46">
          <cell r="I46">
            <v>0</v>
          </cell>
        </row>
        <row r="47">
          <cell r="I47">
            <v>0</v>
          </cell>
        </row>
        <row r="48">
          <cell r="I48">
            <v>0</v>
          </cell>
        </row>
        <row r="49">
          <cell r="I49">
            <v>0</v>
          </cell>
        </row>
        <row r="50">
          <cell r="I50">
            <v>751.83500000000004</v>
          </cell>
        </row>
      </sheetData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nstrucciones"/>
      <sheetName val="Resumen"/>
      <sheetName val="Inputs"/>
      <sheetName val="Bonos Pensionales"/>
      <sheetName val="Títulos de Solidaridad"/>
      <sheetName val="Bonos Paz"/>
      <sheetName val="Bonos Valor Constante"/>
      <sheetName val="Otros"/>
      <sheetName val="Bonos Seguridad"/>
    </sheetNames>
    <sheetDataSet>
      <sheetData sheetId="0"/>
      <sheetData sheetId="1"/>
      <sheetData sheetId="2">
        <row r="101">
          <cell r="C101">
            <v>42422328.199999996</v>
          </cell>
          <cell r="D101">
            <v>5437275.2999999998</v>
          </cell>
          <cell r="F101">
            <v>0</v>
          </cell>
        </row>
        <row r="102">
          <cell r="C102">
            <v>8457599.8000000007</v>
          </cell>
          <cell r="D102">
            <v>21695857</v>
          </cell>
          <cell r="F102">
            <v>20114582.717459999</v>
          </cell>
        </row>
        <row r="103">
          <cell r="C103">
            <v>0</v>
          </cell>
          <cell r="D103">
            <v>37205100.200000003</v>
          </cell>
          <cell r="F103">
            <v>0</v>
          </cell>
        </row>
        <row r="104">
          <cell r="C104">
            <v>0</v>
          </cell>
          <cell r="D104">
            <v>41804513</v>
          </cell>
          <cell r="F104">
            <v>15114266.0749212</v>
          </cell>
        </row>
        <row r="105">
          <cell r="C105">
            <v>0</v>
          </cell>
          <cell r="D105">
            <v>39932208.799999997</v>
          </cell>
          <cell r="F105">
            <v>0</v>
          </cell>
        </row>
        <row r="106">
          <cell r="C106">
            <v>0</v>
          </cell>
          <cell r="D106">
            <v>35209514.799999997</v>
          </cell>
          <cell r="F106">
            <v>22849483.004682399</v>
          </cell>
        </row>
        <row r="107">
          <cell r="C107">
            <v>0</v>
          </cell>
          <cell r="D107">
            <v>27621627</v>
          </cell>
          <cell r="F107">
            <v>0</v>
          </cell>
        </row>
        <row r="108">
          <cell r="C108">
            <v>0</v>
          </cell>
          <cell r="D108">
            <v>51956725.200000003</v>
          </cell>
          <cell r="F108">
            <v>14625588.517927201</v>
          </cell>
        </row>
        <row r="109">
          <cell r="C109">
            <v>0</v>
          </cell>
          <cell r="D109">
            <v>15721623.300000001</v>
          </cell>
          <cell r="F109">
            <v>0</v>
          </cell>
        </row>
        <row r="110">
          <cell r="C110">
            <v>0</v>
          </cell>
          <cell r="D110">
            <v>37230595.399999999</v>
          </cell>
          <cell r="F110">
            <v>31014428.827223603</v>
          </cell>
        </row>
        <row r="111">
          <cell r="C111">
            <v>0</v>
          </cell>
          <cell r="D111">
            <v>19600254.699999999</v>
          </cell>
          <cell r="F111">
            <v>0</v>
          </cell>
        </row>
        <row r="112">
          <cell r="C112">
            <v>0</v>
          </cell>
          <cell r="D112">
            <v>0</v>
          </cell>
          <cell r="F112">
            <v>44999650.980424799</v>
          </cell>
        </row>
        <row r="113">
          <cell r="C113">
            <v>0</v>
          </cell>
          <cell r="D113">
            <v>0</v>
          </cell>
          <cell r="F113">
            <v>0</v>
          </cell>
        </row>
        <row r="114">
          <cell r="C114">
            <v>0</v>
          </cell>
          <cell r="D114">
            <v>0</v>
          </cell>
          <cell r="F114">
            <v>0</v>
          </cell>
        </row>
        <row r="115">
          <cell r="C115">
            <v>0</v>
          </cell>
          <cell r="D115">
            <v>22881302.399999999</v>
          </cell>
          <cell r="F115">
            <v>0</v>
          </cell>
        </row>
        <row r="116">
          <cell r="C116">
            <v>0</v>
          </cell>
          <cell r="D116">
            <v>0</v>
          </cell>
          <cell r="F116">
            <v>7410046.2822980005</v>
          </cell>
        </row>
        <row r="117">
          <cell r="C117">
            <v>0</v>
          </cell>
          <cell r="D117">
            <v>47117754.799999997</v>
          </cell>
          <cell r="F117">
            <v>0</v>
          </cell>
        </row>
        <row r="118">
          <cell r="C118">
            <v>0</v>
          </cell>
          <cell r="D118">
            <v>0</v>
          </cell>
          <cell r="F118">
            <v>0</v>
          </cell>
        </row>
        <row r="119">
          <cell r="C119">
            <v>0</v>
          </cell>
          <cell r="D119">
            <v>0</v>
          </cell>
          <cell r="F119">
            <v>0</v>
          </cell>
        </row>
        <row r="120">
          <cell r="C120">
            <v>0</v>
          </cell>
          <cell r="D120">
            <v>0</v>
          </cell>
          <cell r="F120">
            <v>0</v>
          </cell>
        </row>
        <row r="121">
          <cell r="C121">
            <v>0</v>
          </cell>
          <cell r="D121">
            <v>38492554.399999999</v>
          </cell>
          <cell r="F121">
            <v>0</v>
          </cell>
        </row>
        <row r="122">
          <cell r="C122">
            <v>0</v>
          </cell>
          <cell r="D122">
            <v>0</v>
          </cell>
          <cell r="F122">
            <v>0</v>
          </cell>
        </row>
        <row r="123">
          <cell r="C123">
            <v>0</v>
          </cell>
          <cell r="D123">
            <v>0</v>
          </cell>
          <cell r="F123">
            <v>0</v>
          </cell>
        </row>
        <row r="124">
          <cell r="C124">
            <v>0</v>
          </cell>
          <cell r="D124">
            <v>0</v>
          </cell>
          <cell r="F124">
            <v>32696868.405260399</v>
          </cell>
        </row>
        <row r="125">
          <cell r="C125">
            <v>0</v>
          </cell>
          <cell r="D125">
            <v>21893239.399999999</v>
          </cell>
          <cell r="F125">
            <v>0</v>
          </cell>
        </row>
        <row r="126">
          <cell r="C126">
            <v>0</v>
          </cell>
          <cell r="D126">
            <v>0</v>
          </cell>
          <cell r="F126">
            <v>0</v>
          </cell>
        </row>
        <row r="127">
          <cell r="C127">
            <v>0</v>
          </cell>
          <cell r="D127">
            <v>0</v>
          </cell>
          <cell r="F127">
            <v>0</v>
          </cell>
        </row>
        <row r="128">
          <cell r="C128">
            <v>0</v>
          </cell>
          <cell r="D128">
            <v>0</v>
          </cell>
          <cell r="F128">
            <v>0</v>
          </cell>
        </row>
        <row r="129">
          <cell r="C129">
            <v>0</v>
          </cell>
          <cell r="D129">
            <v>0</v>
          </cell>
          <cell r="F129">
            <v>0</v>
          </cell>
        </row>
        <row r="130">
          <cell r="C130">
            <v>0</v>
          </cell>
          <cell r="D130">
            <v>0</v>
          </cell>
          <cell r="F130">
            <v>10939379.465762001</v>
          </cell>
        </row>
        <row r="131">
          <cell r="C131">
            <v>0</v>
          </cell>
          <cell r="D131">
            <v>0</v>
          </cell>
          <cell r="F131">
            <v>0</v>
          </cell>
        </row>
        <row r="132">
          <cell r="C132">
            <v>0</v>
          </cell>
          <cell r="D132">
            <v>0</v>
          </cell>
          <cell r="F132">
            <v>0</v>
          </cell>
        </row>
        <row r="133">
          <cell r="C133">
            <v>0</v>
          </cell>
          <cell r="D133">
            <v>10528649.5</v>
          </cell>
          <cell r="F133">
            <v>0</v>
          </cell>
        </row>
        <row r="134">
          <cell r="C134">
            <v>0</v>
          </cell>
          <cell r="D134">
            <v>0</v>
          </cell>
          <cell r="F134">
            <v>0</v>
          </cell>
        </row>
        <row r="135">
          <cell r="C135">
            <v>0</v>
          </cell>
          <cell r="D135">
            <v>0</v>
          </cell>
          <cell r="F135">
            <v>0</v>
          </cell>
        </row>
        <row r="136">
          <cell r="C136">
            <v>0</v>
          </cell>
          <cell r="D136">
            <v>0</v>
          </cell>
          <cell r="F136">
            <v>0</v>
          </cell>
        </row>
        <row r="137">
          <cell r="C137">
            <v>0</v>
          </cell>
          <cell r="D137">
            <v>0</v>
          </cell>
          <cell r="F137">
            <v>22967601.6109672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Vencimientos"/>
      <sheetName val="Consulta"/>
      <sheetName val="Vencimientos (2)"/>
      <sheetName val="Perfil de vencimientos BASE"/>
    </sheetNames>
    <definedNames>
      <definedName name="Ubicación_Archivo"/>
    </definedNames>
    <sheetDataSet>
      <sheetData sheetId="0"/>
      <sheetData sheetId="1"/>
      <sheetData sheetId="2"/>
      <sheetData sheetId="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Title Page"/>
      <sheetName val="Resumen-Total"/>
      <sheetName val="Total Gra."/>
      <sheetName val="Resumen Interna"/>
      <sheetName val="Interna Gra."/>
      <sheetName val="Resumen Externa"/>
      <sheetName val="Externa Gra."/>
      <sheetName val="Title Data (HIDE)"/>
    </sheetNames>
    <sheetDataSet>
      <sheetData sheetId="0"/>
      <sheetData sheetId="1">
        <row r="11">
          <cell r="E11">
            <v>3670.4700001195088</v>
          </cell>
        </row>
      </sheetData>
      <sheetData sheetId="2"/>
      <sheetData sheetId="3">
        <row r="23">
          <cell r="C23">
            <v>63111294.663987003</v>
          </cell>
        </row>
        <row r="24">
          <cell r="C24">
            <v>9741703.4000000004</v>
          </cell>
        </row>
        <row r="25">
          <cell r="C25">
            <v>28918072.343053102</v>
          </cell>
        </row>
        <row r="26">
          <cell r="C26">
            <v>10246725.621025901</v>
          </cell>
        </row>
      </sheetData>
      <sheetData sheetId="4"/>
      <sheetData sheetId="5"/>
      <sheetData sheetId="6"/>
      <sheetData sheetId="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nstrucciones"/>
      <sheetName val="Resumen"/>
      <sheetName val="Inputs"/>
      <sheetName val="Bonos Pensionales"/>
      <sheetName val="Títulos de Solidaridad"/>
      <sheetName val="Bonos Paz"/>
      <sheetName val="Bonos Valor Constante"/>
      <sheetName val="Otros"/>
      <sheetName val="Bonos Seguridad"/>
    </sheetNames>
    <sheetDataSet>
      <sheetData sheetId="0"/>
      <sheetData sheetId="1"/>
      <sheetData sheetId="2">
        <row r="101">
          <cell r="C101">
            <v>56762476.000000007</v>
          </cell>
          <cell r="D101">
            <v>8813566.0999999996</v>
          </cell>
          <cell r="F101">
            <v>0</v>
          </cell>
        </row>
        <row r="102">
          <cell r="C102">
            <v>900000</v>
          </cell>
          <cell r="D102">
            <v>19358357</v>
          </cell>
          <cell r="F102">
            <v>19744304.78748</v>
          </cell>
        </row>
        <row r="103">
          <cell r="C103">
            <v>0</v>
          </cell>
          <cell r="D103">
            <v>34426114.5</v>
          </cell>
          <cell r="F103">
            <v>0</v>
          </cell>
        </row>
        <row r="104">
          <cell r="C104">
            <v>0</v>
          </cell>
          <cell r="D104">
            <v>43725181.600000001</v>
          </cell>
          <cell r="F104">
            <v>14836036.134285601</v>
          </cell>
        </row>
        <row r="105">
          <cell r="C105">
            <v>0</v>
          </cell>
          <cell r="D105">
            <v>32027116</v>
          </cell>
          <cell r="F105">
            <v>0</v>
          </cell>
        </row>
        <row r="106">
          <cell r="C106">
            <v>0</v>
          </cell>
          <cell r="D106">
            <v>35209514.799999997</v>
          </cell>
          <cell r="F106">
            <v>21615469.653544001</v>
          </cell>
        </row>
        <row r="107">
          <cell r="C107">
            <v>0</v>
          </cell>
          <cell r="D107">
            <v>27621627</v>
          </cell>
          <cell r="F107">
            <v>0</v>
          </cell>
        </row>
        <row r="108">
          <cell r="C108">
            <v>0</v>
          </cell>
          <cell r="D108">
            <v>52313881.899999999</v>
          </cell>
          <cell r="F108">
            <v>14356354.364913601</v>
          </cell>
        </row>
        <row r="109">
          <cell r="C109">
            <v>0</v>
          </cell>
          <cell r="D109">
            <v>15761623.300000001</v>
          </cell>
          <cell r="F109">
            <v>0</v>
          </cell>
        </row>
        <row r="110">
          <cell r="C110">
            <v>0</v>
          </cell>
          <cell r="D110">
            <v>25672837.199999999</v>
          </cell>
          <cell r="F110">
            <v>30443501.8203368</v>
          </cell>
        </row>
        <row r="111">
          <cell r="C111">
            <v>0</v>
          </cell>
          <cell r="D111">
            <v>19628754.699999999</v>
          </cell>
          <cell r="F111">
            <v>0</v>
          </cell>
        </row>
        <row r="112">
          <cell r="C112">
            <v>0</v>
          </cell>
          <cell r="D112">
            <v>0</v>
          </cell>
          <cell r="F112">
            <v>44171277.961262397</v>
          </cell>
        </row>
        <row r="113">
          <cell r="C113">
            <v>0</v>
          </cell>
          <cell r="D113">
            <v>0</v>
          </cell>
          <cell r="F113">
            <v>0</v>
          </cell>
        </row>
        <row r="114">
          <cell r="C114">
            <v>0</v>
          </cell>
          <cell r="D114">
            <v>0</v>
          </cell>
          <cell r="F114">
            <v>0</v>
          </cell>
        </row>
        <row r="115">
          <cell r="C115">
            <v>0</v>
          </cell>
          <cell r="D115">
            <v>24624199</v>
          </cell>
          <cell r="F115">
            <v>0</v>
          </cell>
        </row>
        <row r="116">
          <cell r="C116">
            <v>0</v>
          </cell>
          <cell r="D116">
            <v>0</v>
          </cell>
          <cell r="F116">
            <v>6860293.6545936</v>
          </cell>
        </row>
        <row r="117">
          <cell r="C117">
            <v>0</v>
          </cell>
          <cell r="D117">
            <v>47012754.799999997</v>
          </cell>
          <cell r="F117">
            <v>0</v>
          </cell>
        </row>
        <row r="118">
          <cell r="C118">
            <v>0</v>
          </cell>
          <cell r="D118">
            <v>0</v>
          </cell>
          <cell r="F118">
            <v>0</v>
          </cell>
        </row>
        <row r="119">
          <cell r="C119">
            <v>0</v>
          </cell>
          <cell r="D119">
            <v>0</v>
          </cell>
          <cell r="F119">
            <v>0</v>
          </cell>
        </row>
        <row r="120">
          <cell r="C120">
            <v>0</v>
          </cell>
          <cell r="D120">
            <v>0</v>
          </cell>
          <cell r="F120">
            <v>0</v>
          </cell>
        </row>
        <row r="121">
          <cell r="C121">
            <v>0</v>
          </cell>
          <cell r="D121">
            <v>35692554.399999999</v>
          </cell>
          <cell r="F121">
            <v>0</v>
          </cell>
        </row>
        <row r="122">
          <cell r="C122">
            <v>0</v>
          </cell>
          <cell r="D122">
            <v>0</v>
          </cell>
          <cell r="F122">
            <v>0</v>
          </cell>
        </row>
        <row r="123">
          <cell r="C123">
            <v>0</v>
          </cell>
          <cell r="D123">
            <v>0</v>
          </cell>
          <cell r="F123">
            <v>0</v>
          </cell>
        </row>
        <row r="124">
          <cell r="C124">
            <v>0</v>
          </cell>
          <cell r="D124">
            <v>0</v>
          </cell>
          <cell r="F124">
            <v>32094970.323655199</v>
          </cell>
        </row>
        <row r="125">
          <cell r="C125">
            <v>0</v>
          </cell>
          <cell r="D125">
            <v>21978239.399999999</v>
          </cell>
          <cell r="F125">
            <v>0</v>
          </cell>
        </row>
        <row r="126">
          <cell r="C126">
            <v>0</v>
          </cell>
          <cell r="D126">
            <v>0</v>
          </cell>
          <cell r="F126">
            <v>0</v>
          </cell>
        </row>
        <row r="127">
          <cell r="C127">
            <v>0</v>
          </cell>
          <cell r="D127">
            <v>0</v>
          </cell>
          <cell r="F127">
            <v>0</v>
          </cell>
        </row>
        <row r="128">
          <cell r="C128">
            <v>0</v>
          </cell>
          <cell r="D128">
            <v>0</v>
          </cell>
          <cell r="F128">
            <v>0</v>
          </cell>
        </row>
        <row r="129">
          <cell r="C129">
            <v>0</v>
          </cell>
          <cell r="D129">
            <v>0</v>
          </cell>
          <cell r="F129">
            <v>0</v>
          </cell>
        </row>
        <row r="130">
          <cell r="C130">
            <v>0</v>
          </cell>
          <cell r="D130">
            <v>0</v>
          </cell>
          <cell r="F130">
            <v>10423000.0568096</v>
          </cell>
        </row>
        <row r="131">
          <cell r="C131">
            <v>0</v>
          </cell>
          <cell r="D131">
            <v>0</v>
          </cell>
          <cell r="F131">
            <v>0</v>
          </cell>
        </row>
        <row r="132">
          <cell r="C132">
            <v>0</v>
          </cell>
          <cell r="D132">
            <v>0</v>
          </cell>
          <cell r="F132">
            <v>0</v>
          </cell>
        </row>
        <row r="133">
          <cell r="C133">
            <v>0</v>
          </cell>
          <cell r="D133">
            <v>10528649.5</v>
          </cell>
          <cell r="F133">
            <v>0</v>
          </cell>
        </row>
        <row r="134">
          <cell r="C134">
            <v>0</v>
          </cell>
          <cell r="D134">
            <v>0</v>
          </cell>
          <cell r="F134">
            <v>0</v>
          </cell>
        </row>
        <row r="135">
          <cell r="C135">
            <v>0</v>
          </cell>
          <cell r="D135">
            <v>0</v>
          </cell>
          <cell r="F135">
            <v>0</v>
          </cell>
        </row>
        <row r="136">
          <cell r="C136">
            <v>0</v>
          </cell>
          <cell r="D136">
            <v>0</v>
          </cell>
          <cell r="F136">
            <v>0</v>
          </cell>
        </row>
        <row r="137">
          <cell r="C137">
            <v>0</v>
          </cell>
          <cell r="D137">
            <v>0</v>
          </cell>
          <cell r="F137">
            <v>20472312.936275199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V Enero 2024"/>
      <sheetName val="PV Febrero 2024"/>
      <sheetName val="PV Marzo 2024"/>
      <sheetName val="PV Abril 2024"/>
      <sheetName val="PV Mayo 2024"/>
      <sheetName val="PV Junio 2024"/>
      <sheetName val="PV Julio 2024"/>
      <sheetName val="PV Agosto 2024"/>
      <sheetName val="PV Septiembre 2024"/>
      <sheetName val="PV Octubre 2024"/>
      <sheetName val="PV Noviembre 2024"/>
      <sheetName val="PV Diciembre 202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6">
          <cell r="S6" t="str">
            <v>TES pesos</v>
          </cell>
          <cell r="X6" t="str">
            <v>Total</v>
          </cell>
        </row>
      </sheetData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Title Page"/>
      <sheetName val="Resumen-Total"/>
      <sheetName val="Total Gra."/>
      <sheetName val="Resumen Interna"/>
      <sheetName val="Interna Gra."/>
      <sheetName val="Resumen Externa"/>
      <sheetName val="Externa Gra."/>
      <sheetName val="Title Data (HIDE)"/>
    </sheetNames>
    <sheetDataSet>
      <sheetData sheetId="0"/>
      <sheetData sheetId="1">
        <row r="11">
          <cell r="E11">
            <v>3766.2999999983499</v>
          </cell>
        </row>
        <row r="31">
          <cell r="K31">
            <v>9745.4764157708232</v>
          </cell>
        </row>
        <row r="46">
          <cell r="C46">
            <v>175943411.98202193</v>
          </cell>
          <cell r="J46">
            <v>11464.151715638376</v>
          </cell>
        </row>
        <row r="47">
          <cell r="C47">
            <v>44726911.113739997</v>
          </cell>
          <cell r="J47">
            <v>4462.1835413072677</v>
          </cell>
        </row>
        <row r="48">
          <cell r="C48">
            <v>35983114.5</v>
          </cell>
          <cell r="J48">
            <v>5318.1747059019808</v>
          </cell>
        </row>
        <row r="49">
          <cell r="C49">
            <v>58098661.8945648</v>
          </cell>
          <cell r="J49">
            <v>6980.8841251403464</v>
          </cell>
        </row>
        <row r="50">
          <cell r="C50">
            <v>36111495.120865501</v>
          </cell>
          <cell r="J50">
            <v>7002.357335631712</v>
          </cell>
        </row>
        <row r="51">
          <cell r="C51">
            <v>57307031.158351198</v>
          </cell>
          <cell r="J51">
            <v>7566.8164344398638</v>
          </cell>
        </row>
        <row r="52">
          <cell r="C52">
            <v>27621627.414999999</v>
          </cell>
          <cell r="J52">
            <v>6052.9673505546671</v>
          </cell>
        </row>
        <row r="53">
          <cell r="C53">
            <v>68980994.031856805</v>
          </cell>
          <cell r="J53">
            <v>5700.5094327879633</v>
          </cell>
        </row>
        <row r="54">
          <cell r="C54">
            <v>15721623.300000001</v>
          </cell>
          <cell r="J54">
            <v>5201.1845502515689</v>
          </cell>
        </row>
        <row r="55">
          <cell r="C55">
            <v>67026065.777368404</v>
          </cell>
          <cell r="J55">
            <v>4773.2547277689455</v>
          </cell>
        </row>
        <row r="56">
          <cell r="C56">
            <v>19600254.699999999</v>
          </cell>
          <cell r="J56">
            <v>7134.2787675597183</v>
          </cell>
        </row>
        <row r="57">
          <cell r="C57">
            <v>44470497.790231198</v>
          </cell>
          <cell r="J57">
            <v>3104.6753953128473</v>
          </cell>
        </row>
        <row r="58">
          <cell r="C58">
            <v>0</v>
          </cell>
          <cell r="J58">
            <v>3481.1499584828807</v>
          </cell>
        </row>
        <row r="59">
          <cell r="C59">
            <v>0</v>
          </cell>
          <cell r="J59">
            <v>1470.7877156415575</v>
          </cell>
        </row>
        <row r="60">
          <cell r="C60">
            <v>24881699</v>
          </cell>
          <cell r="J60">
            <v>1635.3630791290211</v>
          </cell>
        </row>
        <row r="61">
          <cell r="C61">
            <v>7114726.1642708005</v>
          </cell>
          <cell r="J61">
            <v>3031.4354240073117</v>
          </cell>
        </row>
        <row r="62">
          <cell r="C62">
            <v>47012754.799999997</v>
          </cell>
          <cell r="J62">
            <v>851.50576068809085</v>
          </cell>
        </row>
        <row r="63">
          <cell r="C63">
            <v>0</v>
          </cell>
          <cell r="J63">
            <v>141.44008730477617</v>
          </cell>
        </row>
        <row r="64">
          <cell r="C64">
            <v>0</v>
          </cell>
          <cell r="J64">
            <v>2600.0574854615206</v>
          </cell>
        </row>
        <row r="65">
          <cell r="C65">
            <v>0</v>
          </cell>
          <cell r="J65">
            <v>3761.6552315726412</v>
          </cell>
        </row>
        <row r="66">
          <cell r="C66">
            <v>38372554.399999999</v>
          </cell>
          <cell r="J66">
            <v>84.536439787747696</v>
          </cell>
        </row>
        <row r="67">
          <cell r="C67">
            <v>0</v>
          </cell>
          <cell r="J67">
            <v>78.846165648017973</v>
          </cell>
        </row>
        <row r="68">
          <cell r="C68">
            <v>0</v>
          </cell>
          <cell r="J68">
            <v>78.251194486749199</v>
          </cell>
        </row>
        <row r="69">
          <cell r="C69">
            <v>32312384.262627598</v>
          </cell>
          <cell r="J69">
            <v>2244.7935888696697</v>
          </cell>
        </row>
        <row r="70">
          <cell r="C70">
            <v>21893239.399999999</v>
          </cell>
          <cell r="J70">
            <v>65.071612941509315</v>
          </cell>
        </row>
        <row r="71">
          <cell r="C71">
            <v>0</v>
          </cell>
          <cell r="J71">
            <v>1084.5622278034132</v>
          </cell>
        </row>
        <row r="72">
          <cell r="C72">
            <v>0</v>
          </cell>
          <cell r="J72">
            <v>48.836227803412974</v>
          </cell>
        </row>
        <row r="73">
          <cell r="C73">
            <v>0</v>
          </cell>
          <cell r="J73">
            <v>894.21122780341295</v>
          </cell>
        </row>
        <row r="74">
          <cell r="C74">
            <v>0</v>
          </cell>
          <cell r="J74">
            <v>1688.8362278034131</v>
          </cell>
        </row>
        <row r="75">
          <cell r="C75">
            <v>10620613.714818401</v>
          </cell>
          <cell r="J75">
            <v>48.836227803412974</v>
          </cell>
        </row>
        <row r="76">
          <cell r="C76">
            <v>0</v>
          </cell>
          <cell r="J76">
            <v>48.836227803412974</v>
          </cell>
        </row>
        <row r="77">
          <cell r="C77">
            <v>0</v>
          </cell>
          <cell r="J77">
            <v>48.836227803412974</v>
          </cell>
        </row>
        <row r="78">
          <cell r="C78">
            <v>10528649.5</v>
          </cell>
          <cell r="J78">
            <v>48.836227803412974</v>
          </cell>
        </row>
        <row r="79">
          <cell r="C79">
            <v>0</v>
          </cell>
          <cell r="J79">
            <v>35.893523737772064</v>
          </cell>
        </row>
        <row r="80">
          <cell r="C80">
            <v>0</v>
          </cell>
          <cell r="J80">
            <v>0</v>
          </cell>
        </row>
        <row r="81">
          <cell r="C81">
            <v>0</v>
          </cell>
          <cell r="J81">
            <v>751.83500000000004</v>
          </cell>
        </row>
        <row r="82">
          <cell r="C82">
            <v>21126848.3510844</v>
          </cell>
        </row>
      </sheetData>
      <sheetData sheetId="2"/>
      <sheetData sheetId="3">
        <row r="23">
          <cell r="C23">
            <v>64828596.219999999</v>
          </cell>
        </row>
        <row r="24">
          <cell r="C24">
            <v>9741703.4000000004</v>
          </cell>
        </row>
        <row r="25">
          <cell r="C25">
            <v>27886601.547942601</v>
          </cell>
        </row>
        <row r="26">
          <cell r="C26">
            <v>10239100.578061301</v>
          </cell>
        </row>
      </sheetData>
      <sheetData sheetId="4"/>
      <sheetData sheetId="5">
        <row r="15">
          <cell r="I15">
            <v>424.30985280247819</v>
          </cell>
        </row>
        <row r="16">
          <cell r="I16">
            <v>1900.6702351910742</v>
          </cell>
        </row>
        <row r="17">
          <cell r="I17">
            <v>1721.37000001</v>
          </cell>
        </row>
        <row r="18">
          <cell r="I18">
            <v>4000</v>
          </cell>
        </row>
        <row r="19">
          <cell r="I19">
            <v>4033.3680000034483</v>
          </cell>
        </row>
        <row r="20">
          <cell r="I20">
            <v>4014.9520000000002</v>
          </cell>
        </row>
        <row r="21">
          <cell r="I21">
            <v>3712.1600000100002</v>
          </cell>
        </row>
        <row r="22">
          <cell r="I22">
            <v>3282.3760000000002</v>
          </cell>
        </row>
        <row r="23">
          <cell r="I23">
            <v>3026.5600000048275</v>
          </cell>
        </row>
        <row r="24">
          <cell r="I24">
            <v>2243.6489999999999</v>
          </cell>
        </row>
        <row r="25">
          <cell r="I25">
            <v>3416.960000008276</v>
          </cell>
        </row>
        <row r="26">
          <cell r="I26">
            <v>1818.4</v>
          </cell>
        </row>
        <row r="27">
          <cell r="I27">
            <v>944.64000000551721</v>
          </cell>
        </row>
        <row r="28">
          <cell r="I28">
            <v>0</v>
          </cell>
        </row>
        <row r="29">
          <cell r="I29">
            <v>0</v>
          </cell>
        </row>
        <row r="30">
          <cell r="I30">
            <v>2500</v>
          </cell>
        </row>
        <row r="31">
          <cell r="I31">
            <v>514.54600000000005</v>
          </cell>
        </row>
        <row r="32">
          <cell r="I32">
            <v>0</v>
          </cell>
        </row>
        <row r="33">
          <cell r="I33">
            <v>2500</v>
          </cell>
        </row>
        <row r="34">
          <cell r="I34">
            <v>3670.9479999999999</v>
          </cell>
        </row>
        <row r="35">
          <cell r="I35">
            <v>0</v>
          </cell>
        </row>
        <row r="36">
          <cell r="I36">
            <v>0</v>
          </cell>
        </row>
        <row r="37">
          <cell r="I37">
            <v>0</v>
          </cell>
        </row>
        <row r="38">
          <cell r="I38">
            <v>2168.4830000000002</v>
          </cell>
        </row>
        <row r="39">
          <cell r="I39">
            <v>0</v>
          </cell>
        </row>
        <row r="40">
          <cell r="I40">
            <v>1035.7260000000001</v>
          </cell>
        </row>
        <row r="41">
          <cell r="I41">
            <v>0</v>
          </cell>
        </row>
        <row r="42">
          <cell r="I42">
            <v>845.375</v>
          </cell>
        </row>
        <row r="43">
          <cell r="I43">
            <v>1640</v>
          </cell>
        </row>
        <row r="44">
          <cell r="I44">
            <v>0</v>
          </cell>
        </row>
        <row r="45">
          <cell r="I45">
            <v>0</v>
          </cell>
        </row>
        <row r="46">
          <cell r="I46">
            <v>0</v>
          </cell>
        </row>
        <row r="47">
          <cell r="I47">
            <v>0</v>
          </cell>
        </row>
        <row r="48">
          <cell r="I48">
            <v>0</v>
          </cell>
        </row>
        <row r="49">
          <cell r="I49">
            <v>0</v>
          </cell>
        </row>
        <row r="50">
          <cell r="I50">
            <v>751.83500000000004</v>
          </cell>
        </row>
      </sheetData>
      <sheetData sheetId="6"/>
      <sheetData sheetId="7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nstrucciones"/>
      <sheetName val="Resumen"/>
      <sheetName val="Inputs"/>
      <sheetName val="Bonos Pensionales"/>
      <sheetName val="Títulos de Solidaridad"/>
      <sheetName val="Bonos Paz"/>
      <sheetName val="Bonos Valor Constante"/>
      <sheetName val="Otros"/>
      <sheetName val="Bonos Seguridad"/>
    </sheetNames>
    <sheetDataSet>
      <sheetData sheetId="0"/>
      <sheetData sheetId="1"/>
      <sheetData sheetId="2">
        <row r="101">
          <cell r="C101">
            <v>54392976.000000007</v>
          </cell>
          <cell r="D101">
            <v>8813566.0999999996</v>
          </cell>
          <cell r="F101">
            <v>0</v>
          </cell>
        </row>
        <row r="102">
          <cell r="C102">
            <v>4499999.8</v>
          </cell>
          <cell r="D102">
            <v>20348857</v>
          </cell>
          <cell r="F102">
            <v>19878054.31374</v>
          </cell>
        </row>
        <row r="103">
          <cell r="C103">
            <v>0</v>
          </cell>
          <cell r="D103">
            <v>35983114.5</v>
          </cell>
          <cell r="F103">
            <v>0</v>
          </cell>
        </row>
        <row r="104">
          <cell r="C104">
            <v>0</v>
          </cell>
          <cell r="D104">
            <v>43161457.600000001</v>
          </cell>
          <cell r="F104">
            <v>14936536.649542801</v>
          </cell>
        </row>
        <row r="105">
          <cell r="C105">
            <v>0</v>
          </cell>
          <cell r="D105">
            <v>34294424.299999997</v>
          </cell>
          <cell r="F105">
            <v>0</v>
          </cell>
        </row>
        <row r="106">
          <cell r="C106">
            <v>0</v>
          </cell>
          <cell r="D106">
            <v>35209514.799999997</v>
          </cell>
          <cell r="F106">
            <v>22097516.358351201</v>
          </cell>
        </row>
        <row r="107">
          <cell r="C107">
            <v>0</v>
          </cell>
          <cell r="D107">
            <v>27621627</v>
          </cell>
          <cell r="F107">
            <v>0</v>
          </cell>
        </row>
        <row r="108">
          <cell r="C108">
            <v>0</v>
          </cell>
          <cell r="D108">
            <v>54527381.899999999</v>
          </cell>
          <cell r="F108">
            <v>14453605.4768568</v>
          </cell>
        </row>
        <row r="109">
          <cell r="C109">
            <v>0</v>
          </cell>
          <cell r="D109">
            <v>15721623.300000001</v>
          </cell>
          <cell r="F109">
            <v>0</v>
          </cell>
        </row>
        <row r="110">
          <cell r="C110">
            <v>0</v>
          </cell>
          <cell r="D110">
            <v>36376337.200000003</v>
          </cell>
          <cell r="F110">
            <v>30649728.577368401</v>
          </cell>
        </row>
        <row r="111">
          <cell r="C111">
            <v>0</v>
          </cell>
          <cell r="D111">
            <v>19600254.699999999</v>
          </cell>
          <cell r="F111">
            <v>0</v>
          </cell>
        </row>
        <row r="112">
          <cell r="C112">
            <v>0</v>
          </cell>
          <cell r="D112">
            <v>0</v>
          </cell>
          <cell r="F112">
            <v>44470497.790231198</v>
          </cell>
        </row>
        <row r="113">
          <cell r="C113">
            <v>0</v>
          </cell>
          <cell r="D113">
            <v>0</v>
          </cell>
          <cell r="F113">
            <v>0</v>
          </cell>
        </row>
        <row r="114">
          <cell r="C114">
            <v>0</v>
          </cell>
          <cell r="D114">
            <v>0</v>
          </cell>
          <cell r="F114">
            <v>0</v>
          </cell>
        </row>
        <row r="115">
          <cell r="C115">
            <v>0</v>
          </cell>
          <cell r="D115">
            <v>24881699</v>
          </cell>
          <cell r="F115">
            <v>0</v>
          </cell>
        </row>
        <row r="116">
          <cell r="C116">
            <v>0</v>
          </cell>
          <cell r="D116">
            <v>0</v>
          </cell>
          <cell r="F116">
            <v>7114726.1642708005</v>
          </cell>
        </row>
        <row r="117">
          <cell r="C117">
            <v>0</v>
          </cell>
          <cell r="D117">
            <v>47012754.799999997</v>
          </cell>
          <cell r="F117">
            <v>0</v>
          </cell>
        </row>
        <row r="118">
          <cell r="C118">
            <v>0</v>
          </cell>
          <cell r="D118">
            <v>0</v>
          </cell>
          <cell r="F118">
            <v>0</v>
          </cell>
        </row>
        <row r="119">
          <cell r="C119">
            <v>0</v>
          </cell>
          <cell r="D119">
            <v>0</v>
          </cell>
          <cell r="F119">
            <v>0</v>
          </cell>
        </row>
        <row r="120">
          <cell r="C120">
            <v>0</v>
          </cell>
          <cell r="D120">
            <v>0</v>
          </cell>
          <cell r="F120">
            <v>0</v>
          </cell>
        </row>
        <row r="121">
          <cell r="C121">
            <v>0</v>
          </cell>
          <cell r="D121">
            <v>38372554.399999999</v>
          </cell>
          <cell r="F121">
            <v>0</v>
          </cell>
        </row>
        <row r="122">
          <cell r="C122">
            <v>0</v>
          </cell>
          <cell r="D122">
            <v>0</v>
          </cell>
          <cell r="F122">
            <v>0</v>
          </cell>
        </row>
        <row r="123">
          <cell r="C123">
            <v>0</v>
          </cell>
          <cell r="D123">
            <v>0</v>
          </cell>
          <cell r="F123">
            <v>0</v>
          </cell>
        </row>
        <row r="124">
          <cell r="C124">
            <v>0</v>
          </cell>
          <cell r="D124">
            <v>0</v>
          </cell>
          <cell r="F124">
            <v>32312384.262627598</v>
          </cell>
        </row>
        <row r="125">
          <cell r="C125">
            <v>0</v>
          </cell>
          <cell r="D125">
            <v>21893239.399999999</v>
          </cell>
          <cell r="F125">
            <v>0</v>
          </cell>
        </row>
        <row r="126">
          <cell r="C126">
            <v>0</v>
          </cell>
          <cell r="D126">
            <v>0</v>
          </cell>
          <cell r="F126">
            <v>0</v>
          </cell>
        </row>
        <row r="127">
          <cell r="C127">
            <v>0</v>
          </cell>
          <cell r="D127">
            <v>0</v>
          </cell>
          <cell r="F127">
            <v>0</v>
          </cell>
        </row>
        <row r="128">
          <cell r="C128">
            <v>0</v>
          </cell>
          <cell r="D128">
            <v>0</v>
          </cell>
          <cell r="F128">
            <v>0</v>
          </cell>
        </row>
        <row r="129">
          <cell r="C129">
            <v>0</v>
          </cell>
          <cell r="D129">
            <v>0</v>
          </cell>
          <cell r="F129">
            <v>0</v>
          </cell>
        </row>
        <row r="130">
          <cell r="C130">
            <v>0</v>
          </cell>
          <cell r="D130">
            <v>0</v>
          </cell>
          <cell r="F130">
            <v>10620613.714818401</v>
          </cell>
        </row>
        <row r="131">
          <cell r="C131">
            <v>0</v>
          </cell>
          <cell r="D131">
            <v>0</v>
          </cell>
          <cell r="F131">
            <v>0</v>
          </cell>
        </row>
        <row r="132">
          <cell r="C132">
            <v>0</v>
          </cell>
          <cell r="D132">
            <v>0</v>
          </cell>
          <cell r="F132">
            <v>0</v>
          </cell>
        </row>
        <row r="133">
          <cell r="C133">
            <v>0</v>
          </cell>
          <cell r="D133">
            <v>10528649.5</v>
          </cell>
          <cell r="F133">
            <v>0</v>
          </cell>
        </row>
        <row r="134">
          <cell r="C134">
            <v>0</v>
          </cell>
          <cell r="D134">
            <v>0</v>
          </cell>
          <cell r="F134">
            <v>0</v>
          </cell>
        </row>
        <row r="135">
          <cell r="C135">
            <v>0</v>
          </cell>
          <cell r="D135">
            <v>0</v>
          </cell>
          <cell r="F135">
            <v>0</v>
          </cell>
        </row>
        <row r="136">
          <cell r="C136">
            <v>0</v>
          </cell>
          <cell r="D136">
            <v>0</v>
          </cell>
          <cell r="F136">
            <v>0</v>
          </cell>
        </row>
        <row r="137">
          <cell r="C137">
            <v>0</v>
          </cell>
          <cell r="D137">
            <v>0</v>
          </cell>
          <cell r="F137">
            <v>21126848.3510844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0"/>
  <dimension ref="A1:AR56"/>
  <sheetViews>
    <sheetView topLeftCell="S8" zoomScale="85" zoomScaleNormal="85" workbookViewId="0">
      <selection activeCell="AE36" sqref="AE36"/>
    </sheetView>
  </sheetViews>
  <sheetFormatPr baseColWidth="10" defaultColWidth="11.42578125" defaultRowHeight="15" x14ac:dyDescent="0.25"/>
  <cols>
    <col min="1" max="1" width="10.7109375" style="2" customWidth="1"/>
    <col min="2" max="2" width="17.7109375" style="1" bestFit="1" customWidth="1"/>
    <col min="3" max="4" width="17.42578125" style="1" bestFit="1" customWidth="1"/>
    <col min="5" max="5" width="18.5703125" style="1" bestFit="1" customWidth="1"/>
    <col min="6" max="6" width="18.140625" style="1" bestFit="1" customWidth="1"/>
    <col min="7" max="7" width="17.85546875" style="1" bestFit="1" customWidth="1"/>
    <col min="8" max="8" width="19" style="1" bestFit="1" customWidth="1"/>
    <col min="9" max="9" width="16.42578125" style="1" bestFit="1" customWidth="1"/>
    <col min="10" max="10" width="29" style="1" bestFit="1" customWidth="1"/>
    <col min="11" max="11" width="29" style="1" customWidth="1"/>
    <col min="12" max="12" width="17.42578125" style="1" bestFit="1" customWidth="1"/>
    <col min="13" max="13" width="6.7109375" style="1" customWidth="1"/>
    <col min="14" max="14" width="14.140625" style="2" bestFit="1" customWidth="1"/>
    <col min="15" max="15" width="13.5703125" style="2" bestFit="1" customWidth="1"/>
    <col min="16" max="16" width="16.7109375" style="2" bestFit="1" customWidth="1"/>
    <col min="17" max="17" width="19" style="2" bestFit="1" customWidth="1"/>
    <col min="18" max="18" width="19" style="2" customWidth="1"/>
    <col min="19" max="19" width="29" style="2" bestFit="1" customWidth="1"/>
    <col min="20" max="20" width="15.7109375" style="3" bestFit="1" customWidth="1"/>
    <col min="21" max="21" width="27.42578125" style="2" bestFit="1" customWidth="1"/>
    <col min="22" max="22" width="10.5703125" style="2" bestFit="1" customWidth="1"/>
    <col min="23" max="23" width="18" style="2" bestFit="1" customWidth="1"/>
    <col min="24" max="24" width="19" style="2" bestFit="1" customWidth="1"/>
    <col min="25" max="25" width="19" style="2" customWidth="1"/>
    <col min="26" max="26" width="19" style="2" bestFit="1" customWidth="1"/>
    <col min="27" max="27" width="7" style="2" bestFit="1" customWidth="1"/>
    <col min="28" max="28" width="17.7109375" style="2" bestFit="1" customWidth="1"/>
    <col min="29" max="29" width="9.7109375" style="1" bestFit="1" customWidth="1"/>
    <col min="30" max="16384" width="11.42578125" style="1"/>
  </cols>
  <sheetData>
    <row r="1" spans="1:44" ht="24.75" customHeight="1" x14ac:dyDescent="0.25">
      <c r="A1" s="63" t="s">
        <v>17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N1" s="64" t="s">
        <v>18</v>
      </c>
      <c r="O1" s="64"/>
      <c r="P1" s="64"/>
      <c r="Q1" s="64"/>
      <c r="R1" s="64"/>
      <c r="S1" s="64"/>
      <c r="T1" s="59"/>
      <c r="U1" s="60"/>
      <c r="AR1" s="1" t="s">
        <v>21</v>
      </c>
    </row>
    <row r="2" spans="1:44" ht="21" customHeight="1" x14ac:dyDescent="0.25">
      <c r="A2" s="63"/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N2" s="64"/>
      <c r="O2" s="64"/>
      <c r="P2" s="64"/>
      <c r="Q2" s="64"/>
      <c r="R2" s="64"/>
      <c r="S2" s="64"/>
      <c r="T2" s="59" t="s">
        <v>23</v>
      </c>
      <c r="U2" s="60" t="s">
        <v>24</v>
      </c>
    </row>
    <row r="3" spans="1:44" ht="18" customHeight="1" thickBot="1" x14ac:dyDescent="0.35">
      <c r="A3" s="7" t="s">
        <v>12</v>
      </c>
      <c r="B3" s="8">
        <v>46053</v>
      </c>
      <c r="C3" s="5"/>
      <c r="D3" s="5"/>
      <c r="E3" s="7" t="s">
        <v>13</v>
      </c>
      <c r="F3" s="38">
        <f>'[4]Resumen-Total'!$E$11</f>
        <v>3670.4700001195088</v>
      </c>
      <c r="G3" s="58"/>
      <c r="H3" s="5"/>
      <c r="I3" s="1" t="s">
        <v>25</v>
      </c>
      <c r="J3" s="1">
        <f>'[4]Resumen Interna'!$C$25</f>
        <v>28918072.343053102</v>
      </c>
      <c r="K3" s="61"/>
      <c r="N3" s="1"/>
      <c r="O3" s="1"/>
      <c r="P3" s="1"/>
      <c r="Q3" s="6" t="s">
        <v>5</v>
      </c>
      <c r="R3" s="6"/>
      <c r="S3" s="37">
        <f>SUM(N8:S45)</f>
        <v>1045836442.696824</v>
      </c>
      <c r="T3" s="37">
        <f>+B8+B9+L8+J3+J5</f>
        <v>159938568.628066</v>
      </c>
      <c r="U3" s="37">
        <f>T3+S3</f>
        <v>1205775011.3248899</v>
      </c>
    </row>
    <row r="4" spans="1:44" ht="1.5" customHeight="1" thickTop="1" x14ac:dyDescent="0.25">
      <c r="B4" s="1" t="s">
        <v>21</v>
      </c>
      <c r="K4" s="1" t="s">
        <v>26</v>
      </c>
      <c r="N4" s="1"/>
      <c r="O4" s="1"/>
      <c r="P4" s="1"/>
    </row>
    <row r="5" spans="1:44" ht="15" customHeight="1" x14ac:dyDescent="0.25">
      <c r="E5" s="55"/>
      <c r="I5" s="1" t="s">
        <v>26</v>
      </c>
      <c r="J5" s="1">
        <f>'[4]Resumen Interna'!$C$26</f>
        <v>10246725.621025901</v>
      </c>
      <c r="S5" s="54"/>
    </row>
    <row r="6" spans="1:44" s="17" customFormat="1" ht="56.25" x14ac:dyDescent="0.25">
      <c r="A6" s="24" t="s">
        <v>15</v>
      </c>
      <c r="B6" s="25" t="s">
        <v>6</v>
      </c>
      <c r="C6" s="26" t="s">
        <v>0</v>
      </c>
      <c r="D6" s="25" t="s">
        <v>1</v>
      </c>
      <c r="E6" s="26" t="s">
        <v>9</v>
      </c>
      <c r="F6" s="25" t="s">
        <v>10</v>
      </c>
      <c r="G6" s="26" t="s">
        <v>11</v>
      </c>
      <c r="H6" s="25" t="s">
        <v>2</v>
      </c>
      <c r="I6" s="26" t="s">
        <v>7</v>
      </c>
      <c r="J6" s="25" t="s">
        <v>3</v>
      </c>
      <c r="K6" s="27" t="s">
        <v>22</v>
      </c>
      <c r="L6" s="27" t="s">
        <v>16</v>
      </c>
      <c r="M6" s="15"/>
      <c r="N6" s="32" t="s">
        <v>0</v>
      </c>
      <c r="O6" s="32" t="s">
        <v>1</v>
      </c>
      <c r="P6" s="34" t="s">
        <v>10</v>
      </c>
      <c r="Q6" s="33" t="s">
        <v>2</v>
      </c>
      <c r="R6" s="33" t="s">
        <v>22</v>
      </c>
      <c r="S6" s="33" t="s">
        <v>3</v>
      </c>
      <c r="T6" s="16"/>
      <c r="U6" s="49" t="s">
        <v>0</v>
      </c>
      <c r="V6" s="50" t="s">
        <v>1</v>
      </c>
      <c r="W6" s="51" t="s">
        <v>14</v>
      </c>
      <c r="X6" s="50" t="s">
        <v>2</v>
      </c>
      <c r="Y6" s="50" t="s">
        <v>22</v>
      </c>
      <c r="Z6" s="50" t="s">
        <v>20</v>
      </c>
      <c r="AA6" s="50" t="s">
        <v>8</v>
      </c>
      <c r="AB6" s="53" t="s">
        <v>19</v>
      </c>
      <c r="AC6" s="52" t="s">
        <v>4</v>
      </c>
    </row>
    <row r="7" spans="1:44" ht="18.75" customHeight="1" x14ac:dyDescent="0.25">
      <c r="A7" s="11"/>
      <c r="B7" s="14"/>
      <c r="C7" s="9"/>
      <c r="D7" s="14"/>
      <c r="E7" s="9"/>
      <c r="F7" s="14"/>
      <c r="G7" s="9"/>
      <c r="H7" s="14"/>
      <c r="I7" s="9"/>
      <c r="J7" s="14"/>
      <c r="K7" s="10"/>
      <c r="L7" s="10"/>
      <c r="N7" s="28"/>
      <c r="O7" s="28"/>
      <c r="P7" s="35"/>
      <c r="Q7" s="29"/>
      <c r="R7" s="29"/>
      <c r="S7" s="29"/>
      <c r="T7" s="1"/>
      <c r="U7" s="39"/>
      <c r="V7" s="40"/>
      <c r="W7" s="40"/>
      <c r="X7" s="40"/>
      <c r="Y7" s="40"/>
      <c r="Z7" s="40"/>
      <c r="AA7" s="41"/>
      <c r="AB7" s="42"/>
      <c r="AC7" s="43"/>
    </row>
    <row r="8" spans="1:44" x14ac:dyDescent="0.25">
      <c r="A8" s="12">
        <v>2026</v>
      </c>
      <c r="B8" s="18">
        <f>[5]Inputs!$C101</f>
        <v>56762476.000000007</v>
      </c>
      <c r="C8" s="19">
        <f>[5]Inputs!$D101</f>
        <v>8813566.0999999996</v>
      </c>
      <c r="D8" s="18">
        <f>[5]Inputs!$F101</f>
        <v>0</v>
      </c>
      <c r="E8" s="19">
        <f>'[4]Resumen Interna'!$C$24</f>
        <v>9741703.4000000004</v>
      </c>
      <c r="F8" s="18">
        <f>G8-B8-C8-D8-E8-L8-J3-J5</f>
        <v>62836.014252003282</v>
      </c>
      <c r="G8" s="19">
        <v>177656674.14231801</v>
      </c>
      <c r="H8" s="18">
        <v>427.54392180000002</v>
      </c>
      <c r="I8" s="19">
        <v>11890.18948962823</v>
      </c>
      <c r="J8" s="18">
        <f>I8-H8-K8</f>
        <v>1712.7911848882304</v>
      </c>
      <c r="K8" s="20">
        <v>9749.8543829400005</v>
      </c>
      <c r="L8" s="20">
        <f>'[4]Resumen Interna'!$C$23</f>
        <v>63111294.663987003</v>
      </c>
      <c r="N8" s="28">
        <f>C8</f>
        <v>8813566.0999999996</v>
      </c>
      <c r="O8" s="28">
        <f>D8</f>
        <v>0</v>
      </c>
      <c r="P8" s="35">
        <f>F8</f>
        <v>62836.014252003282</v>
      </c>
      <c r="Q8" s="29">
        <f>H8*$F$3</f>
        <v>1569287.1387003413</v>
      </c>
      <c r="R8" s="29">
        <f>K8*F3</f>
        <v>35786548.018114977</v>
      </c>
      <c r="S8" s="29">
        <f>J8*$F$3</f>
        <v>6286748.660601397</v>
      </c>
      <c r="T8" s="57">
        <f>SUM(N8:S8)</f>
        <v>52518985.931668721</v>
      </c>
      <c r="U8" s="39">
        <f>(N8/$S$3)*100</f>
        <v>0.84272891440587827</v>
      </c>
      <c r="V8" s="40">
        <f>(O8/$S$3)*100</f>
        <v>0</v>
      </c>
      <c r="W8" s="40">
        <f>(P8/$S$3)*100</f>
        <v>6.0082066073326463E-3</v>
      </c>
      <c r="X8" s="40">
        <f>(Q8/$S$3)*100</f>
        <v>0.15005091375987362</v>
      </c>
      <c r="Y8" s="40">
        <f t="shared" ref="Y8:Y47" si="0">(R8/$S$3)*100</f>
        <v>3.4218111510662945</v>
      </c>
      <c r="Z8" s="40">
        <f>(S8/$S$3)*100</f>
        <v>0.60112159071357329</v>
      </c>
      <c r="AA8" s="41">
        <f>SUM(U8:Z8)</f>
        <v>5.0217207765529519</v>
      </c>
      <c r="AB8" s="42">
        <v>8</v>
      </c>
      <c r="AC8" s="43">
        <f>AA8^2</f>
        <v>25.217679557663583</v>
      </c>
    </row>
    <row r="9" spans="1:44" x14ac:dyDescent="0.25">
      <c r="A9" s="12">
        <f>+A8+1</f>
        <v>2027</v>
      </c>
      <c r="B9" s="18">
        <f>[5]Inputs!$C102</f>
        <v>900000</v>
      </c>
      <c r="C9" s="19">
        <f>[5]Inputs!$D102</f>
        <v>19358357</v>
      </c>
      <c r="D9" s="18">
        <f>[5]Inputs!$F102</f>
        <v>19744304.78748</v>
      </c>
      <c r="E9" s="19">
        <v>0</v>
      </c>
      <c r="F9" s="18">
        <f t="shared" ref="F9:F44" si="1">G9-B9-C9-D9-E9-L9-M9</f>
        <v>-3.7252902984619141E-9</v>
      </c>
      <c r="G9" s="19">
        <v>40002661.787479997</v>
      </c>
      <c r="H9" s="18">
        <v>1902.9216707724081</v>
      </c>
      <c r="I9" s="19">
        <v>4406.4668123787078</v>
      </c>
      <c r="J9" s="18">
        <f t="shared" ref="J9:J44" si="2">I9-H9-K9</f>
        <v>2503.5451416062997</v>
      </c>
      <c r="K9" s="20"/>
      <c r="L9" s="20"/>
      <c r="N9" s="28">
        <f t="shared" ref="N9:N44" si="3">C9</f>
        <v>19358357</v>
      </c>
      <c r="O9" s="28">
        <f t="shared" ref="O9:O44" si="4">D9</f>
        <v>19744304.78748</v>
      </c>
      <c r="P9" s="35">
        <f t="shared" ref="P9:P44" si="5">F9</f>
        <v>-3.7252902984619141E-9</v>
      </c>
      <c r="Q9" s="29">
        <f t="shared" ref="Q9:Q44" si="6">H9*$F$3</f>
        <v>6984616.9051474165</v>
      </c>
      <c r="R9" s="29">
        <f>K9</f>
        <v>0</v>
      </c>
      <c r="S9" s="29">
        <f t="shared" ref="S9:S44" si="7">J9*$F$3</f>
        <v>9189187.3362108711</v>
      </c>
      <c r="T9" s="57">
        <f t="shared" ref="T9:T44" si="8">SUM(N9:S9)</f>
        <v>55276466.028838284</v>
      </c>
      <c r="U9" s="39">
        <f t="shared" ref="U9:U44" si="9">(N9/$S$3)*100</f>
        <v>1.8509927757041993</v>
      </c>
      <c r="V9" s="40">
        <f t="shared" ref="V9:V44" si="10">(O9/$S$3)*100</f>
        <v>1.887896040088904</v>
      </c>
      <c r="W9" s="40">
        <f t="shared" ref="W9:W44" si="11">(P9/$S$3)*100</f>
        <v>-3.562019974037024E-16</v>
      </c>
      <c r="X9" s="40">
        <f t="shared" ref="X9:X44" si="12">(Q9/$S$3)*100</f>
        <v>0.66784983004959009</v>
      </c>
      <c r="Y9" s="40">
        <f t="shared" si="0"/>
        <v>0</v>
      </c>
      <c r="Z9" s="40">
        <f t="shared" ref="Z9:Z44" si="13">(S9/$S$3)*100</f>
        <v>0.87864478240166966</v>
      </c>
      <c r="AA9" s="41">
        <f t="shared" ref="AA9:AA44" si="14">SUM(U9:Z9)</f>
        <v>5.2853834282443621</v>
      </c>
      <c r="AB9" s="42">
        <v>8</v>
      </c>
      <c r="AC9" s="43">
        <f t="shared" ref="AC9:AC44" si="15">AA9^2</f>
        <v>27.935277983560127</v>
      </c>
    </row>
    <row r="10" spans="1:44" x14ac:dyDescent="0.25">
      <c r="A10" s="12">
        <f t="shared" ref="A10:A44" si="16">+A9+1</f>
        <v>2028</v>
      </c>
      <c r="B10" s="18">
        <f>[5]Inputs!$C103</f>
        <v>0</v>
      </c>
      <c r="C10" s="19">
        <f>[5]Inputs!$D103</f>
        <v>34426114.5</v>
      </c>
      <c r="D10" s="18">
        <f>[5]Inputs!$F103</f>
        <v>0</v>
      </c>
      <c r="E10" s="19"/>
      <c r="F10" s="18">
        <f t="shared" si="1"/>
        <v>0</v>
      </c>
      <c r="G10" s="19">
        <v>34426114.5</v>
      </c>
      <c r="H10" s="18">
        <v>1734.42</v>
      </c>
      <c r="I10" s="19">
        <v>5333.2026227493852</v>
      </c>
      <c r="J10" s="18">
        <f t="shared" si="2"/>
        <v>3598.7826227493852</v>
      </c>
      <c r="K10" s="20"/>
      <c r="L10" s="20"/>
      <c r="N10" s="28">
        <f t="shared" si="3"/>
        <v>34426114.5</v>
      </c>
      <c r="O10" s="28">
        <f t="shared" si="4"/>
        <v>0</v>
      </c>
      <c r="P10" s="35">
        <f t="shared" si="5"/>
        <v>0</v>
      </c>
      <c r="Q10" s="29">
        <f t="shared" si="6"/>
        <v>6366136.5776072787</v>
      </c>
      <c r="R10" s="29"/>
      <c r="S10" s="29">
        <f t="shared" si="7"/>
        <v>13209223.653753022</v>
      </c>
      <c r="T10" s="57">
        <f t="shared" si="8"/>
        <v>54001474.731360301</v>
      </c>
      <c r="U10" s="39">
        <f>(N10/$S$3)*100</f>
        <v>3.2917302452406263</v>
      </c>
      <c r="V10" s="40">
        <f t="shared" si="10"/>
        <v>0</v>
      </c>
      <c r="W10" s="40">
        <f t="shared" si="11"/>
        <v>0</v>
      </c>
      <c r="X10" s="40">
        <f t="shared" si="12"/>
        <v>0.60871244467169028</v>
      </c>
      <c r="Y10" s="40">
        <f t="shared" si="0"/>
        <v>0</v>
      </c>
      <c r="Z10" s="40">
        <f t="shared" si="13"/>
        <v>1.2630295823017352</v>
      </c>
      <c r="AA10" s="41">
        <f t="shared" si="14"/>
        <v>5.1634722722140518</v>
      </c>
      <c r="AB10" s="42">
        <v>8</v>
      </c>
      <c r="AC10" s="43">
        <f t="shared" si="15"/>
        <v>26.661445905923344</v>
      </c>
    </row>
    <row r="11" spans="1:44" x14ac:dyDescent="0.25">
      <c r="A11" s="12">
        <f t="shared" si="16"/>
        <v>2029</v>
      </c>
      <c r="B11" s="18">
        <f>[5]Inputs!$C104</f>
        <v>0</v>
      </c>
      <c r="C11" s="19">
        <f>[5]Inputs!$D104</f>
        <v>43725181.600000001</v>
      </c>
      <c r="D11" s="18">
        <f>[5]Inputs!$F104</f>
        <v>14836036.134285601</v>
      </c>
      <c r="E11" s="19">
        <f>-E8</f>
        <v>-9741703.4000000004</v>
      </c>
      <c r="F11" s="18">
        <f t="shared" si="1"/>
        <v>9742371.0450219959</v>
      </c>
      <c r="G11" s="19">
        <v>58561885.379307598</v>
      </c>
      <c r="H11" s="18">
        <v>4000</v>
      </c>
      <c r="I11" s="19">
        <v>6978.4592376717665</v>
      </c>
      <c r="J11" s="18">
        <f t="shared" si="2"/>
        <v>2978.4592376717665</v>
      </c>
      <c r="K11" s="20"/>
      <c r="L11" s="20"/>
      <c r="N11" s="28">
        <f t="shared" si="3"/>
        <v>43725181.600000001</v>
      </c>
      <c r="O11" s="28">
        <f t="shared" si="4"/>
        <v>14836036.134285601</v>
      </c>
      <c r="P11" s="35">
        <f t="shared" si="5"/>
        <v>9742371.0450219959</v>
      </c>
      <c r="Q11" s="29">
        <f t="shared" si="6"/>
        <v>14681880.000478035</v>
      </c>
      <c r="R11" s="29"/>
      <c r="S11" s="29">
        <f t="shared" si="7"/>
        <v>10932345.278453041</v>
      </c>
      <c r="T11" s="57">
        <f t="shared" si="8"/>
        <v>93917814.05823867</v>
      </c>
      <c r="U11" s="39">
        <f t="shared" si="9"/>
        <v>4.1808814280031203</v>
      </c>
      <c r="V11" s="40">
        <f t="shared" si="10"/>
        <v>1.4185809107998735</v>
      </c>
      <c r="W11" s="40">
        <f t="shared" si="11"/>
        <v>0.93153868494963099</v>
      </c>
      <c r="X11" s="40">
        <f t="shared" si="12"/>
        <v>1.4038409258926678</v>
      </c>
      <c r="Y11" s="40">
        <f t="shared" si="0"/>
        <v>0</v>
      </c>
      <c r="Z11" s="40">
        <f t="shared" si="13"/>
        <v>1.0453207434866756</v>
      </c>
      <c r="AA11" s="41">
        <f t="shared" si="14"/>
        <v>8.9801626931319678</v>
      </c>
      <c r="AB11" s="42">
        <v>8</v>
      </c>
      <c r="AC11" s="43">
        <f t="shared" si="15"/>
        <v>80.643321995119194</v>
      </c>
    </row>
    <row r="12" spans="1:44" x14ac:dyDescent="0.25">
      <c r="A12" s="12">
        <f t="shared" si="16"/>
        <v>2030</v>
      </c>
      <c r="B12" s="18">
        <f>[5]Inputs!$C105</f>
        <v>0</v>
      </c>
      <c r="C12" s="19">
        <f>[5]Inputs!$D105</f>
        <v>32027116</v>
      </c>
      <c r="D12" s="18">
        <f>[5]Inputs!$F105</f>
        <v>0</v>
      </c>
      <c r="E12" s="19"/>
      <c r="F12" s="18">
        <f t="shared" si="1"/>
        <v>1817282.3738635927</v>
      </c>
      <c r="G12" s="19">
        <v>33844398.373863593</v>
      </c>
      <c r="H12" s="18">
        <v>4037.8679999999999</v>
      </c>
      <c r="I12" s="19">
        <v>7004.3754714647084</v>
      </c>
      <c r="J12" s="18">
        <f t="shared" si="2"/>
        <v>2966.5074714647085</v>
      </c>
      <c r="K12" s="20"/>
      <c r="L12" s="20"/>
      <c r="N12" s="28">
        <f t="shared" si="3"/>
        <v>32027116</v>
      </c>
      <c r="O12" s="28">
        <f t="shared" si="4"/>
        <v>0</v>
      </c>
      <c r="P12" s="35">
        <f t="shared" si="5"/>
        <v>1817282.3738635927</v>
      </c>
      <c r="Q12" s="29">
        <f t="shared" si="6"/>
        <v>14820873.35844256</v>
      </c>
      <c r="R12" s="29"/>
      <c r="S12" s="29">
        <f t="shared" si="7"/>
        <v>10888476.679141592</v>
      </c>
      <c r="T12" s="57">
        <f t="shared" si="8"/>
        <v>59553748.411447749</v>
      </c>
      <c r="U12" s="39">
        <f t="shared" si="9"/>
        <v>3.0623446164692787</v>
      </c>
      <c r="V12" s="40">
        <f t="shared" si="10"/>
        <v>0</v>
      </c>
      <c r="W12" s="40">
        <f>(P12/$S$3)*100</f>
        <v>0.17376353506839906</v>
      </c>
      <c r="X12" s="40">
        <f t="shared" si="12"/>
        <v>1.4171310879380938</v>
      </c>
      <c r="Y12" s="40">
        <f t="shared" si="0"/>
        <v>0</v>
      </c>
      <c r="Z12" s="40">
        <f t="shared" si="13"/>
        <v>1.0411261488521335</v>
      </c>
      <c r="AA12" s="41">
        <f t="shared" si="14"/>
        <v>5.6943653883279053</v>
      </c>
      <c r="AB12" s="42">
        <v>8</v>
      </c>
      <c r="AC12" s="43">
        <f t="shared" si="15"/>
        <v>32.425797175786819</v>
      </c>
    </row>
    <row r="13" spans="1:44" x14ac:dyDescent="0.25">
      <c r="A13" s="12">
        <f t="shared" si="16"/>
        <v>2031</v>
      </c>
      <c r="B13" s="18">
        <f>[5]Inputs!$C106</f>
        <v>0</v>
      </c>
      <c r="C13" s="19">
        <f>[5]Inputs!$D106</f>
        <v>35209514.799999997</v>
      </c>
      <c r="D13" s="18">
        <f>[5]Inputs!$F106</f>
        <v>21615469.653544001</v>
      </c>
      <c r="E13" s="19"/>
      <c r="F13" s="18">
        <f t="shared" si="1"/>
        <v>0</v>
      </c>
      <c r="G13" s="19">
        <v>56824984.453543998</v>
      </c>
      <c r="H13" s="18">
        <v>4014.9520000000002</v>
      </c>
      <c r="I13" s="19">
        <v>7567.2355639143889</v>
      </c>
      <c r="J13" s="18">
        <f t="shared" si="2"/>
        <v>3552.2835639143887</v>
      </c>
      <c r="K13" s="20"/>
      <c r="L13" s="20"/>
      <c r="N13" s="28">
        <f t="shared" si="3"/>
        <v>35209514.799999997</v>
      </c>
      <c r="O13" s="28">
        <f t="shared" si="4"/>
        <v>21615469.653544001</v>
      </c>
      <c r="P13" s="35">
        <f>F13</f>
        <v>0</v>
      </c>
      <c r="Q13" s="29">
        <f t="shared" si="6"/>
        <v>14736760.867919823</v>
      </c>
      <c r="R13" s="29"/>
      <c r="S13" s="29">
        <f t="shared" si="7"/>
        <v>13038550.253265375</v>
      </c>
      <c r="T13" s="57">
        <f t="shared" si="8"/>
        <v>84600295.574729204</v>
      </c>
      <c r="U13" s="39">
        <f t="shared" si="9"/>
        <v>3.3666368241297588</v>
      </c>
      <c r="V13" s="40">
        <f t="shared" si="10"/>
        <v>2.0668116706476329</v>
      </c>
      <c r="W13" s="40">
        <f t="shared" si="11"/>
        <v>0</v>
      </c>
      <c r="X13" s="40">
        <f t="shared" si="12"/>
        <v>1.4090884832736548</v>
      </c>
      <c r="Y13" s="40">
        <f t="shared" si="0"/>
        <v>0</v>
      </c>
      <c r="Z13" s="40">
        <f t="shared" si="13"/>
        <v>1.2467102618497203</v>
      </c>
      <c r="AA13" s="41">
        <f t="shared" si="14"/>
        <v>8.0892472399007662</v>
      </c>
      <c r="AB13" s="42">
        <v>8</v>
      </c>
      <c r="AC13" s="43">
        <f t="shared" si="15"/>
        <v>65.435920908242167</v>
      </c>
    </row>
    <row r="14" spans="1:44" x14ac:dyDescent="0.25">
      <c r="A14" s="12">
        <f t="shared" si="16"/>
        <v>2032</v>
      </c>
      <c r="B14" s="18">
        <f>[5]Inputs!$C107</f>
        <v>0</v>
      </c>
      <c r="C14" s="19">
        <f>[5]Inputs!$D107</f>
        <v>27621627</v>
      </c>
      <c r="D14" s="18">
        <f>[5]Inputs!$F107</f>
        <v>0</v>
      </c>
      <c r="E14" s="19"/>
      <c r="F14" s="18">
        <f t="shared" si="1"/>
        <v>0.41499999910593033</v>
      </c>
      <c r="G14" s="19">
        <v>27621627.414999999</v>
      </c>
      <c r="H14" s="18">
        <v>3725.21</v>
      </c>
      <c r="I14" s="19">
        <v>6064.7345121289109</v>
      </c>
      <c r="J14" s="18">
        <f t="shared" si="2"/>
        <v>2339.5245121289108</v>
      </c>
      <c r="K14" s="20"/>
      <c r="L14" s="20"/>
      <c r="N14" s="28">
        <f t="shared" si="3"/>
        <v>27621627</v>
      </c>
      <c r="O14" s="28">
        <f t="shared" si="4"/>
        <v>0</v>
      </c>
      <c r="P14" s="35">
        <f t="shared" si="5"/>
        <v>0.41499999910593033</v>
      </c>
      <c r="Q14" s="29">
        <f t="shared" si="6"/>
        <v>13673271.549145196</v>
      </c>
      <c r="R14" s="29"/>
      <c r="S14" s="29">
        <f t="shared" si="7"/>
        <v>8587154.5363133978</v>
      </c>
      <c r="T14" s="57">
        <f t="shared" si="8"/>
        <v>49882053.500458598</v>
      </c>
      <c r="U14" s="39">
        <f t="shared" si="9"/>
        <v>2.6411038927630095</v>
      </c>
      <c r="V14" s="40">
        <f t="shared" si="10"/>
        <v>0</v>
      </c>
      <c r="W14" s="40">
        <f t="shared" si="11"/>
        <v>3.9681156838998588E-8</v>
      </c>
      <c r="X14" s="40">
        <f>(Q14/$S$3)*100</f>
        <v>1.3074005638861563</v>
      </c>
      <c r="Y14" s="40">
        <f t="shared" si="0"/>
        <v>0</v>
      </c>
      <c r="Z14" s="40">
        <f t="shared" si="13"/>
        <v>0.82108006431391067</v>
      </c>
      <c r="AA14" s="41">
        <f t="shared" si="14"/>
        <v>4.7695845606442333</v>
      </c>
      <c r="AB14" s="42">
        <v>8</v>
      </c>
      <c r="AC14" s="43">
        <f t="shared" si="15"/>
        <v>22.748936881135844</v>
      </c>
    </row>
    <row r="15" spans="1:44" x14ac:dyDescent="0.25">
      <c r="A15" s="12">
        <f t="shared" si="16"/>
        <v>2033</v>
      </c>
      <c r="B15" s="18">
        <f>[5]Inputs!$C108</f>
        <v>0</v>
      </c>
      <c r="C15" s="19">
        <f>[5]Inputs!$D108</f>
        <v>52313881.899999999</v>
      </c>
      <c r="D15" s="18">
        <f>[5]Inputs!$F108</f>
        <v>14356354.364913601</v>
      </c>
      <c r="E15" s="19"/>
      <c r="F15" s="18">
        <f t="shared" si="1"/>
        <v>6.6550000049173832</v>
      </c>
      <c r="G15" s="19">
        <v>66670242.919913605</v>
      </c>
      <c r="H15" s="18">
        <v>3282.3760000000002</v>
      </c>
      <c r="I15" s="19">
        <v>5695.6796411487076</v>
      </c>
      <c r="J15" s="18">
        <f t="shared" si="2"/>
        <v>2413.3036411487074</v>
      </c>
      <c r="K15" s="20"/>
      <c r="L15" s="20"/>
      <c r="N15" s="28">
        <f t="shared" si="3"/>
        <v>52313881.899999999</v>
      </c>
      <c r="O15" s="28">
        <f t="shared" si="4"/>
        <v>14356354.364913601</v>
      </c>
      <c r="P15" s="35">
        <f t="shared" si="5"/>
        <v>6.6550000049173832</v>
      </c>
      <c r="Q15" s="29">
        <f t="shared" si="6"/>
        <v>12047862.637112273</v>
      </c>
      <c r="R15" s="29"/>
      <c r="S15" s="29">
        <f t="shared" si="7"/>
        <v>8857958.6160155069</v>
      </c>
      <c r="T15" s="57">
        <f t="shared" si="8"/>
        <v>87576064.173041388</v>
      </c>
      <c r="U15" s="39">
        <f t="shared" si="9"/>
        <v>5.0021092939830929</v>
      </c>
      <c r="V15" s="40">
        <f t="shared" si="10"/>
        <v>1.3727150612474255</v>
      </c>
      <c r="W15" s="40">
        <f t="shared" si="11"/>
        <v>6.3633276994599733E-7</v>
      </c>
      <c r="X15" s="40">
        <f t="shared" si="12"/>
        <v>1.151983440741968</v>
      </c>
      <c r="Y15" s="40">
        <f t="shared" si="0"/>
        <v>0</v>
      </c>
      <c r="Z15" s="40">
        <f t="shared" si="13"/>
        <v>0.84697360451258707</v>
      </c>
      <c r="AA15" s="41">
        <f t="shared" si="14"/>
        <v>8.3737820368178433</v>
      </c>
      <c r="AB15" s="42">
        <v>8</v>
      </c>
      <c r="AC15" s="43">
        <f t="shared" si="15"/>
        <v>70.120225600133182</v>
      </c>
    </row>
    <row r="16" spans="1:44" x14ac:dyDescent="0.25">
      <c r="A16" s="12">
        <f t="shared" si="16"/>
        <v>2034</v>
      </c>
      <c r="B16" s="18">
        <f>[5]Inputs!$C109</f>
        <v>0</v>
      </c>
      <c r="C16" s="19">
        <f>[5]Inputs!$D109</f>
        <v>15761623.300000001</v>
      </c>
      <c r="D16" s="18">
        <f>[5]Inputs!$F109</f>
        <v>0</v>
      </c>
      <c r="E16" s="19"/>
      <c r="F16" s="18">
        <f t="shared" si="1"/>
        <v>0</v>
      </c>
      <c r="G16" s="19">
        <v>15761623.300000001</v>
      </c>
      <c r="H16" s="18">
        <v>3032.86</v>
      </c>
      <c r="I16" s="19">
        <v>5200.3711088972223</v>
      </c>
      <c r="J16" s="18">
        <f t="shared" si="2"/>
        <v>2167.5111088972221</v>
      </c>
      <c r="K16" s="20"/>
      <c r="L16" s="20"/>
      <c r="N16" s="28">
        <f t="shared" si="3"/>
        <v>15761623.300000001</v>
      </c>
      <c r="O16" s="28">
        <f t="shared" si="4"/>
        <v>0</v>
      </c>
      <c r="P16" s="35">
        <f>F16</f>
        <v>0</v>
      </c>
      <c r="Q16" s="29">
        <f t="shared" si="6"/>
        <v>11132021.644562453</v>
      </c>
      <c r="R16" s="29"/>
      <c r="S16" s="29">
        <f t="shared" si="7"/>
        <v>7955784.5001330236</v>
      </c>
      <c r="T16" s="57">
        <f t="shared" si="8"/>
        <v>34849429.44469548</v>
      </c>
      <c r="U16" s="39">
        <f t="shared" si="9"/>
        <v>1.5070830061492813</v>
      </c>
      <c r="V16" s="40">
        <f t="shared" si="10"/>
        <v>0</v>
      </c>
      <c r="W16" s="40">
        <f t="shared" si="11"/>
        <v>0</v>
      </c>
      <c r="X16" s="40">
        <f t="shared" si="12"/>
        <v>1.0644132476257091</v>
      </c>
      <c r="Y16" s="40">
        <f t="shared" si="0"/>
        <v>0</v>
      </c>
      <c r="Z16" s="40">
        <f t="shared" si="13"/>
        <v>0.76071020049922988</v>
      </c>
      <c r="AA16" s="41">
        <f t="shared" si="14"/>
        <v>3.3322064542742202</v>
      </c>
      <c r="AB16" s="42">
        <v>8</v>
      </c>
      <c r="AC16" s="43">
        <f t="shared" si="15"/>
        <v>11.10359985390677</v>
      </c>
    </row>
    <row r="17" spans="1:29" x14ac:dyDescent="0.25">
      <c r="A17" s="12">
        <f t="shared" si="16"/>
        <v>2035</v>
      </c>
      <c r="B17" s="18">
        <f>[5]Inputs!$C110</f>
        <v>0</v>
      </c>
      <c r="C17" s="19">
        <f>[5]Inputs!$D110</f>
        <v>25672837.199999999</v>
      </c>
      <c r="D17" s="18">
        <f>[5]Inputs!$F110</f>
        <v>30443501.8203368</v>
      </c>
      <c r="E17" s="19"/>
      <c r="F17" s="18">
        <f t="shared" si="1"/>
        <v>0</v>
      </c>
      <c r="G17" s="19">
        <v>56116339.020336799</v>
      </c>
      <c r="H17" s="18">
        <v>2243.6489999999999</v>
      </c>
      <c r="I17" s="19">
        <v>4775.3416930332369</v>
      </c>
      <c r="J17" s="18">
        <f t="shared" si="2"/>
        <v>2531.692693033237</v>
      </c>
      <c r="K17" s="20"/>
      <c r="L17" s="20"/>
      <c r="N17" s="28">
        <f t="shared" si="3"/>
        <v>25672837.199999999</v>
      </c>
      <c r="O17" s="28">
        <f t="shared" si="4"/>
        <v>30443501.8203368</v>
      </c>
      <c r="P17" s="35">
        <f t="shared" si="5"/>
        <v>0</v>
      </c>
      <c r="Q17" s="29">
        <f t="shared" si="6"/>
        <v>8235246.3452981357</v>
      </c>
      <c r="R17" s="29"/>
      <c r="S17" s="29">
        <f t="shared" si="7"/>
        <v>9292502.0793002658</v>
      </c>
      <c r="T17" s="57">
        <f t="shared" si="8"/>
        <v>73644087.444935203</v>
      </c>
      <c r="U17" s="39">
        <f t="shared" si="9"/>
        <v>2.4547659798313473</v>
      </c>
      <c r="V17" s="40">
        <f t="shared" si="10"/>
        <v>2.910923790514921</v>
      </c>
      <c r="W17" s="40">
        <f t="shared" si="11"/>
        <v>0</v>
      </c>
      <c r="X17" s="40">
        <f t="shared" si="12"/>
        <v>0.78743157238453965</v>
      </c>
      <c r="Y17" s="40">
        <f t="shared" si="0"/>
        <v>0</v>
      </c>
      <c r="Z17" s="40">
        <f t="shared" si="13"/>
        <v>0.88852345356587037</v>
      </c>
      <c r="AA17" s="41">
        <f t="shared" si="14"/>
        <v>7.0416447962966782</v>
      </c>
      <c r="AB17" s="42">
        <v>8</v>
      </c>
      <c r="AC17" s="43">
        <f t="shared" si="15"/>
        <v>49.584761437212087</v>
      </c>
    </row>
    <row r="18" spans="1:29" x14ac:dyDescent="0.25">
      <c r="A18" s="12">
        <f t="shared" si="16"/>
        <v>2036</v>
      </c>
      <c r="B18" s="18">
        <f>[5]Inputs!$C111</f>
        <v>0</v>
      </c>
      <c r="C18" s="19">
        <f>[5]Inputs!$D111</f>
        <v>19628754.699999999</v>
      </c>
      <c r="D18" s="18">
        <f>[5]Inputs!$F111</f>
        <v>0</v>
      </c>
      <c r="E18" s="19"/>
      <c r="F18" s="18">
        <f t="shared" si="1"/>
        <v>0</v>
      </c>
      <c r="G18" s="19">
        <v>19628754.699999999</v>
      </c>
      <c r="H18" s="18">
        <v>3427.76</v>
      </c>
      <c r="I18" s="19">
        <v>7152.0268281588706</v>
      </c>
      <c r="J18" s="18">
        <f t="shared" si="2"/>
        <v>3724.2668281588703</v>
      </c>
      <c r="K18" s="20"/>
      <c r="L18" s="20"/>
      <c r="N18" s="28">
        <f t="shared" si="3"/>
        <v>19628754.699999999</v>
      </c>
      <c r="O18" s="28">
        <f t="shared" si="4"/>
        <v>0</v>
      </c>
      <c r="P18" s="35">
        <f t="shared" si="5"/>
        <v>0</v>
      </c>
      <c r="Q18" s="29">
        <f t="shared" si="6"/>
        <v>12581490.247609649</v>
      </c>
      <c r="R18" s="29"/>
      <c r="S18" s="29">
        <f t="shared" si="7"/>
        <v>13669809.665197371</v>
      </c>
      <c r="T18" s="57">
        <f t="shared" si="8"/>
        <v>45880054.612807021</v>
      </c>
      <c r="U18" s="39">
        <f t="shared" si="9"/>
        <v>1.8768474589950919</v>
      </c>
      <c r="V18" s="40">
        <f t="shared" si="10"/>
        <v>0</v>
      </c>
      <c r="W18" s="40">
        <f t="shared" si="11"/>
        <v>0</v>
      </c>
      <c r="X18" s="40">
        <f t="shared" si="12"/>
        <v>1.2030074430344631</v>
      </c>
      <c r="Y18" s="40">
        <f t="shared" si="0"/>
        <v>0</v>
      </c>
      <c r="Z18" s="40">
        <f t="shared" si="13"/>
        <v>1.3070695480784746</v>
      </c>
      <c r="AA18" s="41">
        <f t="shared" si="14"/>
        <v>4.3869244501080296</v>
      </c>
      <c r="AB18" s="42">
        <v>8</v>
      </c>
      <c r="AC18" s="43">
        <f t="shared" si="15"/>
        <v>19.245106130955637</v>
      </c>
    </row>
    <row r="19" spans="1:29" x14ac:dyDescent="0.25">
      <c r="A19" s="12">
        <f t="shared" si="16"/>
        <v>2037</v>
      </c>
      <c r="B19" s="18">
        <f>[5]Inputs!$C112</f>
        <v>0</v>
      </c>
      <c r="C19" s="19">
        <f>[5]Inputs!$D112</f>
        <v>0</v>
      </c>
      <c r="D19" s="18">
        <f>[5]Inputs!$F112</f>
        <v>44171277.961262397</v>
      </c>
      <c r="E19" s="19"/>
      <c r="F19" s="18">
        <f t="shared" si="1"/>
        <v>0</v>
      </c>
      <c r="G19" s="19">
        <v>44171277.961262397</v>
      </c>
      <c r="H19" s="18">
        <v>1818.4</v>
      </c>
      <c r="I19" s="19">
        <v>3100.7367094517099</v>
      </c>
      <c r="J19" s="18">
        <f t="shared" si="2"/>
        <v>1282.3367094517098</v>
      </c>
      <c r="K19" s="20"/>
      <c r="L19" s="20"/>
      <c r="N19" s="28">
        <f t="shared" si="3"/>
        <v>0</v>
      </c>
      <c r="O19" s="28">
        <f t="shared" si="4"/>
        <v>44171277.961262397</v>
      </c>
      <c r="P19" s="35">
        <f t="shared" si="5"/>
        <v>0</v>
      </c>
      <c r="Q19" s="29">
        <f t="shared" si="6"/>
        <v>6674382.6482173149</v>
      </c>
      <c r="R19" s="29"/>
      <c r="S19" s="29">
        <f t="shared" si="7"/>
        <v>4706778.422094468</v>
      </c>
      <c r="T19" s="57">
        <f t="shared" si="8"/>
        <v>55552439.031574175</v>
      </c>
      <c r="U19" s="39">
        <f t="shared" si="9"/>
        <v>0</v>
      </c>
      <c r="V19" s="40">
        <f t="shared" si="10"/>
        <v>4.2235359333397362</v>
      </c>
      <c r="W19" s="40">
        <f t="shared" si="11"/>
        <v>0</v>
      </c>
      <c r="X19" s="40">
        <f t="shared" si="12"/>
        <v>0.63818608491080686</v>
      </c>
      <c r="Y19" s="40">
        <f t="shared" si="0"/>
        <v>0</v>
      </c>
      <c r="Z19" s="40">
        <f t="shared" si="13"/>
        <v>0.4500491883757114</v>
      </c>
      <c r="AA19" s="41">
        <f t="shared" si="14"/>
        <v>5.3117712066262541</v>
      </c>
      <c r="AB19" s="42">
        <v>8</v>
      </c>
      <c r="AC19" s="43">
        <f t="shared" si="15"/>
        <v>28.214913351543732</v>
      </c>
    </row>
    <row r="20" spans="1:29" x14ac:dyDescent="0.25">
      <c r="A20" s="12">
        <f t="shared" si="16"/>
        <v>2038</v>
      </c>
      <c r="B20" s="18">
        <f>[5]Inputs!$C113</f>
        <v>0</v>
      </c>
      <c r="C20" s="19">
        <f>[5]Inputs!$D113</f>
        <v>0</v>
      </c>
      <c r="D20" s="18">
        <f>[5]Inputs!$F113</f>
        <v>0</v>
      </c>
      <c r="E20" s="19"/>
      <c r="F20" s="18">
        <f t="shared" si="1"/>
        <v>0</v>
      </c>
      <c r="G20" s="19">
        <v>0</v>
      </c>
      <c r="H20" s="18">
        <v>951.84</v>
      </c>
      <c r="I20" s="19">
        <v>3483.9301262921967</v>
      </c>
      <c r="J20" s="18">
        <f t="shared" si="2"/>
        <v>2532.0901262921966</v>
      </c>
      <c r="K20" s="20"/>
      <c r="L20" s="20"/>
      <c r="N20" s="28">
        <f t="shared" si="3"/>
        <v>0</v>
      </c>
      <c r="O20" s="28">
        <f t="shared" si="4"/>
        <v>0</v>
      </c>
      <c r="P20" s="35">
        <f t="shared" si="5"/>
        <v>0</v>
      </c>
      <c r="Q20" s="29">
        <f t="shared" si="6"/>
        <v>3493700.1649137535</v>
      </c>
      <c r="R20" s="29"/>
      <c r="S20" s="29">
        <f t="shared" si="7"/>
        <v>9293960.8461543266</v>
      </c>
      <c r="T20" s="57">
        <f t="shared" si="8"/>
        <v>12787661.01106808</v>
      </c>
      <c r="U20" s="39">
        <f t="shared" si="9"/>
        <v>0</v>
      </c>
      <c r="V20" s="40">
        <f t="shared" si="10"/>
        <v>0</v>
      </c>
      <c r="W20" s="40">
        <f t="shared" si="11"/>
        <v>0</v>
      </c>
      <c r="X20" s="40">
        <f t="shared" si="12"/>
        <v>0.33405798672541925</v>
      </c>
      <c r="Y20" s="40">
        <f t="shared" si="0"/>
        <v>0</v>
      </c>
      <c r="Z20" s="40">
        <f t="shared" si="13"/>
        <v>0.88866293683442998</v>
      </c>
      <c r="AA20" s="41">
        <f t="shared" si="14"/>
        <v>1.2227209235598493</v>
      </c>
      <c r="AB20" s="42">
        <v>8</v>
      </c>
      <c r="AC20" s="43">
        <f t="shared" si="15"/>
        <v>1.4950464569110509</v>
      </c>
    </row>
    <row r="21" spans="1:29" x14ac:dyDescent="0.25">
      <c r="A21" s="12">
        <f t="shared" si="16"/>
        <v>2039</v>
      </c>
      <c r="B21" s="18">
        <f>[5]Inputs!$C114</f>
        <v>0</v>
      </c>
      <c r="C21" s="19">
        <f>[5]Inputs!$D114</f>
        <v>0</v>
      </c>
      <c r="D21" s="18">
        <f>[5]Inputs!$F114</f>
        <v>0</v>
      </c>
      <c r="E21" s="19"/>
      <c r="F21" s="18">
        <f t="shared" si="1"/>
        <v>0</v>
      </c>
      <c r="G21" s="19">
        <v>0</v>
      </c>
      <c r="H21" s="18">
        <v>0</v>
      </c>
      <c r="I21" s="19">
        <v>1468.0065114171762</v>
      </c>
      <c r="J21" s="18">
        <f t="shared" si="2"/>
        <v>1468.0065114171762</v>
      </c>
      <c r="K21" s="20"/>
      <c r="L21" s="20"/>
      <c r="N21" s="28">
        <f t="shared" si="3"/>
        <v>0</v>
      </c>
      <c r="O21" s="28">
        <f t="shared" si="4"/>
        <v>0</v>
      </c>
      <c r="P21" s="35">
        <f t="shared" si="5"/>
        <v>0</v>
      </c>
      <c r="Q21" s="29">
        <f t="shared" si="6"/>
        <v>0</v>
      </c>
      <c r="R21" s="29"/>
      <c r="S21" s="29">
        <f t="shared" si="7"/>
        <v>5388273.8601368424</v>
      </c>
      <c r="T21" s="57">
        <f t="shared" si="8"/>
        <v>5388273.8601368424</v>
      </c>
      <c r="U21" s="39">
        <f t="shared" si="9"/>
        <v>0</v>
      </c>
      <c r="V21" s="40">
        <f t="shared" si="10"/>
        <v>0</v>
      </c>
      <c r="W21" s="40">
        <f t="shared" si="11"/>
        <v>0</v>
      </c>
      <c r="X21" s="40">
        <f t="shared" si="12"/>
        <v>0</v>
      </c>
      <c r="Y21" s="40">
        <f t="shared" si="0"/>
        <v>0</v>
      </c>
      <c r="Z21" s="40">
        <f t="shared" si="13"/>
        <v>0.5152119050510886</v>
      </c>
      <c r="AA21" s="41">
        <f t="shared" si="14"/>
        <v>0.5152119050510886</v>
      </c>
      <c r="AB21" s="42">
        <v>8</v>
      </c>
      <c r="AC21" s="43">
        <f t="shared" si="15"/>
        <v>0.26544330710637193</v>
      </c>
    </row>
    <row r="22" spans="1:29" x14ac:dyDescent="0.25">
      <c r="A22" s="12">
        <f t="shared" si="16"/>
        <v>2040</v>
      </c>
      <c r="B22" s="18">
        <f>[5]Inputs!$C115</f>
        <v>0</v>
      </c>
      <c r="C22" s="19">
        <f>[5]Inputs!$D115</f>
        <v>24624199</v>
      </c>
      <c r="D22" s="18">
        <f>[5]Inputs!$F115</f>
        <v>0</v>
      </c>
      <c r="E22" s="19"/>
      <c r="F22" s="18">
        <f t="shared" si="1"/>
        <v>0</v>
      </c>
      <c r="G22" s="19">
        <v>24624199</v>
      </c>
      <c r="H22" s="18">
        <v>0</v>
      </c>
      <c r="I22" s="19">
        <v>1632.7623210824474</v>
      </c>
      <c r="J22" s="18">
        <f t="shared" si="2"/>
        <v>1632.7623210824474</v>
      </c>
      <c r="K22" s="20"/>
      <c r="L22" s="20"/>
      <c r="N22" s="28">
        <f t="shared" si="3"/>
        <v>24624199</v>
      </c>
      <c r="O22" s="28">
        <f t="shared" si="4"/>
        <v>0</v>
      </c>
      <c r="P22" s="35">
        <f t="shared" si="5"/>
        <v>0</v>
      </c>
      <c r="Q22" s="29">
        <f t="shared" si="6"/>
        <v>0</v>
      </c>
      <c r="R22" s="29"/>
      <c r="S22" s="29">
        <f t="shared" si="7"/>
        <v>5993005.1168586202</v>
      </c>
      <c r="T22" s="57">
        <f t="shared" si="8"/>
        <v>30617204.11685862</v>
      </c>
      <c r="U22" s="39">
        <f t="shared" si="9"/>
        <v>2.3544980835151752</v>
      </c>
      <c r="V22" s="40">
        <f t="shared" si="10"/>
        <v>0</v>
      </c>
      <c r="W22" s="40">
        <f t="shared" si="11"/>
        <v>0</v>
      </c>
      <c r="X22" s="40">
        <f t="shared" si="12"/>
        <v>0</v>
      </c>
      <c r="Y22" s="40">
        <f t="shared" si="0"/>
        <v>0</v>
      </c>
      <c r="Z22" s="40">
        <f t="shared" si="13"/>
        <v>0.57303464214776112</v>
      </c>
      <c r="AA22" s="41">
        <f t="shared" si="14"/>
        <v>2.9275327256629362</v>
      </c>
      <c r="AB22" s="42">
        <v>8</v>
      </c>
      <c r="AC22" s="43">
        <f t="shared" si="15"/>
        <v>8.5704478598274605</v>
      </c>
    </row>
    <row r="23" spans="1:29" x14ac:dyDescent="0.25">
      <c r="A23" s="12">
        <f t="shared" si="16"/>
        <v>2041</v>
      </c>
      <c r="B23" s="18">
        <f>[5]Inputs!$C116</f>
        <v>0</v>
      </c>
      <c r="C23" s="19">
        <f>[5]Inputs!$D116</f>
        <v>0</v>
      </c>
      <c r="D23" s="18">
        <f>[5]Inputs!$F116</f>
        <v>6860293.6545936</v>
      </c>
      <c r="E23" s="19"/>
      <c r="F23" s="18">
        <f t="shared" si="1"/>
        <v>0</v>
      </c>
      <c r="G23" s="19">
        <v>6860293.6545936</v>
      </c>
      <c r="H23" s="18">
        <v>2500</v>
      </c>
      <c r="I23" s="19">
        <v>3029.0120626403273</v>
      </c>
      <c r="J23" s="18">
        <f t="shared" si="2"/>
        <v>529.01206264032726</v>
      </c>
      <c r="K23" s="20"/>
      <c r="L23" s="20"/>
      <c r="N23" s="28">
        <f t="shared" si="3"/>
        <v>0</v>
      </c>
      <c r="O23" s="28">
        <f t="shared" si="4"/>
        <v>6860293.6545936</v>
      </c>
      <c r="P23" s="35">
        <f t="shared" si="5"/>
        <v>0</v>
      </c>
      <c r="Q23" s="29">
        <f t="shared" si="6"/>
        <v>9176175.000298772</v>
      </c>
      <c r="R23" s="29"/>
      <c r="S23" s="29">
        <f t="shared" si="7"/>
        <v>1941722.9056226637</v>
      </c>
      <c r="T23" s="57">
        <f t="shared" si="8"/>
        <v>17978191.560515035</v>
      </c>
      <c r="U23" s="39">
        <f t="shared" si="9"/>
        <v>0</v>
      </c>
      <c r="V23" s="40">
        <f t="shared" si="10"/>
        <v>0.65596238326744949</v>
      </c>
      <c r="W23" s="40">
        <f t="shared" si="11"/>
        <v>0</v>
      </c>
      <c r="X23" s="40">
        <f t="shared" si="12"/>
        <v>0.87740057868291743</v>
      </c>
      <c r="Y23" s="40">
        <f t="shared" si="0"/>
        <v>0</v>
      </c>
      <c r="Z23" s="40">
        <f t="shared" si="13"/>
        <v>0.18566219595634678</v>
      </c>
      <c r="AA23" s="41">
        <f t="shared" si="14"/>
        <v>1.7190251579067135</v>
      </c>
      <c r="AB23" s="42">
        <v>8</v>
      </c>
      <c r="AC23" s="43">
        <f t="shared" si="15"/>
        <v>2.9550474935162012</v>
      </c>
    </row>
    <row r="24" spans="1:29" x14ac:dyDescent="0.25">
      <c r="A24" s="12">
        <f t="shared" si="16"/>
        <v>2042</v>
      </c>
      <c r="B24" s="18">
        <f>[5]Inputs!$C117</f>
        <v>0</v>
      </c>
      <c r="C24" s="19">
        <f>[5]Inputs!$D117</f>
        <v>47012754.799999997</v>
      </c>
      <c r="D24" s="18">
        <f>[5]Inputs!$F117</f>
        <v>0</v>
      </c>
      <c r="E24" s="19"/>
      <c r="F24" s="18">
        <f t="shared" si="1"/>
        <v>0</v>
      </c>
      <c r="G24" s="19">
        <v>47012754.799999997</v>
      </c>
      <c r="H24" s="18">
        <v>514.54600000000005</v>
      </c>
      <c r="I24" s="19">
        <v>850.62628912592504</v>
      </c>
      <c r="J24" s="18">
        <f t="shared" si="2"/>
        <v>336.08028912592499</v>
      </c>
      <c r="K24" s="20"/>
      <c r="L24" s="20"/>
      <c r="N24" s="28">
        <f t="shared" si="3"/>
        <v>47012754.799999997</v>
      </c>
      <c r="O24" s="28">
        <f t="shared" si="4"/>
        <v>0</v>
      </c>
      <c r="P24" s="35">
        <f t="shared" si="5"/>
        <v>0</v>
      </c>
      <c r="Q24" s="29">
        <f t="shared" si="6"/>
        <v>1888625.6566814929</v>
      </c>
      <c r="R24" s="29"/>
      <c r="S24" s="29">
        <f t="shared" si="7"/>
        <v>1233572.6188681985</v>
      </c>
      <c r="T24" s="57">
        <f t="shared" si="8"/>
        <v>50134953.075549692</v>
      </c>
      <c r="U24" s="39">
        <f t="shared" si="9"/>
        <v>4.4952301220993558</v>
      </c>
      <c r="V24" s="40">
        <f t="shared" si="10"/>
        <v>0</v>
      </c>
      <c r="W24" s="40">
        <f t="shared" si="11"/>
        <v>0</v>
      </c>
      <c r="X24" s="40">
        <f t="shared" si="12"/>
        <v>0.18058518326359221</v>
      </c>
      <c r="Y24" s="40">
        <f t="shared" si="0"/>
        <v>0</v>
      </c>
      <c r="Z24" s="40">
        <f t="shared" si="13"/>
        <v>0.11795081606520352</v>
      </c>
      <c r="AA24" s="41">
        <f t="shared" si="14"/>
        <v>4.7937661214281517</v>
      </c>
      <c r="AB24" s="42">
        <v>8</v>
      </c>
      <c r="AC24" s="43">
        <f t="shared" si="15"/>
        <v>22.980193626952307</v>
      </c>
    </row>
    <row r="25" spans="1:29" x14ac:dyDescent="0.25">
      <c r="A25" s="12">
        <f t="shared" si="16"/>
        <v>2043</v>
      </c>
      <c r="B25" s="18">
        <f>[5]Inputs!$C118</f>
        <v>0</v>
      </c>
      <c r="C25" s="19">
        <f>[5]Inputs!$D118</f>
        <v>0</v>
      </c>
      <c r="D25" s="18">
        <f>[5]Inputs!$F118</f>
        <v>0</v>
      </c>
      <c r="E25" s="19"/>
      <c r="F25" s="18">
        <f t="shared" si="1"/>
        <v>0</v>
      </c>
      <c r="G25" s="19">
        <v>0</v>
      </c>
      <c r="H25" s="18">
        <v>0</v>
      </c>
      <c r="I25" s="19">
        <v>141.52179242112169</v>
      </c>
      <c r="J25" s="18">
        <f t="shared" si="2"/>
        <v>141.52179242112169</v>
      </c>
      <c r="K25" s="20"/>
      <c r="L25" s="20"/>
      <c r="N25" s="28">
        <f t="shared" si="3"/>
        <v>0</v>
      </c>
      <c r="O25" s="28">
        <f t="shared" si="4"/>
        <v>0</v>
      </c>
      <c r="P25" s="35">
        <f t="shared" si="5"/>
        <v>0</v>
      </c>
      <c r="Q25" s="29">
        <f t="shared" si="6"/>
        <v>0</v>
      </c>
      <c r="R25" s="29"/>
      <c r="S25" s="29">
        <f t="shared" si="7"/>
        <v>519451.49344486761</v>
      </c>
      <c r="T25" s="57">
        <f t="shared" si="8"/>
        <v>519451.49344486761</v>
      </c>
      <c r="U25" s="39">
        <f t="shared" si="9"/>
        <v>0</v>
      </c>
      <c r="V25" s="40">
        <f t="shared" si="10"/>
        <v>0</v>
      </c>
      <c r="W25" s="40">
        <f t="shared" si="11"/>
        <v>0</v>
      </c>
      <c r="X25" s="40">
        <f t="shared" si="12"/>
        <v>0</v>
      </c>
      <c r="Y25" s="40">
        <f t="shared" si="0"/>
        <v>0</v>
      </c>
      <c r="Z25" s="40">
        <f t="shared" si="13"/>
        <v>4.9668521026614357E-2</v>
      </c>
      <c r="AA25" s="41">
        <f t="shared" si="14"/>
        <v>4.9668521026614357E-2</v>
      </c>
      <c r="AB25" s="42">
        <v>8</v>
      </c>
      <c r="AC25" s="43">
        <f t="shared" si="15"/>
        <v>2.4669619809712324E-3</v>
      </c>
    </row>
    <row r="26" spans="1:29" x14ac:dyDescent="0.25">
      <c r="A26" s="12">
        <f t="shared" si="16"/>
        <v>2044</v>
      </c>
      <c r="B26" s="18">
        <f>[5]Inputs!$C119</f>
        <v>0</v>
      </c>
      <c r="C26" s="19">
        <f>[5]Inputs!$D119</f>
        <v>0</v>
      </c>
      <c r="D26" s="18">
        <f>[5]Inputs!$F119</f>
        <v>0</v>
      </c>
      <c r="E26" s="19"/>
      <c r="F26" s="18">
        <f t="shared" si="1"/>
        <v>0</v>
      </c>
      <c r="G26" s="19">
        <v>0</v>
      </c>
      <c r="H26" s="18">
        <v>2500</v>
      </c>
      <c r="I26" s="19">
        <v>2600.1768973304402</v>
      </c>
      <c r="J26" s="18">
        <f t="shared" si="2"/>
        <v>100.17689733044017</v>
      </c>
      <c r="K26" s="20"/>
      <c r="L26" s="20"/>
      <c r="N26" s="28">
        <f t="shared" si="3"/>
        <v>0</v>
      </c>
      <c r="O26" s="28">
        <f t="shared" si="4"/>
        <v>0</v>
      </c>
      <c r="P26" s="35">
        <f t="shared" si="5"/>
        <v>0</v>
      </c>
      <c r="Q26" s="29">
        <f t="shared" si="6"/>
        <v>9176175.000298772</v>
      </c>
      <c r="R26" s="29"/>
      <c r="S26" s="29">
        <f t="shared" si="7"/>
        <v>367696.29635643272</v>
      </c>
      <c r="T26" s="57">
        <f t="shared" si="8"/>
        <v>9543871.2966552041</v>
      </c>
      <c r="U26" s="39">
        <f>(N26/$S$3)*100</f>
        <v>0</v>
      </c>
      <c r="V26" s="40">
        <f t="shared" si="10"/>
        <v>0</v>
      </c>
      <c r="W26" s="40">
        <f t="shared" si="11"/>
        <v>0</v>
      </c>
      <c r="X26" s="40">
        <f t="shared" si="12"/>
        <v>0.87740057868291743</v>
      </c>
      <c r="Y26" s="40">
        <f t="shared" si="0"/>
        <v>0</v>
      </c>
      <c r="Z26" s="40">
        <f t="shared" si="13"/>
        <v>3.5158107075354959E-2</v>
      </c>
      <c r="AA26" s="41">
        <f t="shared" si="14"/>
        <v>0.91255868575827237</v>
      </c>
      <c r="AB26" s="42">
        <v>8</v>
      </c>
      <c r="AC26" s="43">
        <f t="shared" si="15"/>
        <v>0.83276335495286535</v>
      </c>
    </row>
    <row r="27" spans="1:29" x14ac:dyDescent="0.25">
      <c r="A27" s="12">
        <f t="shared" si="16"/>
        <v>2045</v>
      </c>
      <c r="B27" s="18">
        <f>[5]Inputs!$C120</f>
        <v>0</v>
      </c>
      <c r="C27" s="19">
        <f>[5]Inputs!$D120</f>
        <v>0</v>
      </c>
      <c r="D27" s="18">
        <f>[5]Inputs!$F120</f>
        <v>0</v>
      </c>
      <c r="E27" s="19"/>
      <c r="F27" s="18">
        <f t="shared" si="1"/>
        <v>0</v>
      </c>
      <c r="G27" s="19">
        <v>0</v>
      </c>
      <c r="H27" s="18">
        <v>3670.9479999999999</v>
      </c>
      <c r="I27" s="19">
        <v>3761.9325251620035</v>
      </c>
      <c r="J27" s="18">
        <f t="shared" si="2"/>
        <v>90.984525162003592</v>
      </c>
      <c r="K27" s="20"/>
      <c r="L27" s="20"/>
      <c r="N27" s="28">
        <f t="shared" si="3"/>
        <v>0</v>
      </c>
      <c r="O27" s="28">
        <f t="shared" si="4"/>
        <v>0</v>
      </c>
      <c r="P27" s="35">
        <f t="shared" si="5"/>
        <v>0</v>
      </c>
      <c r="Q27" s="29">
        <f t="shared" si="6"/>
        <v>13474104.50599871</v>
      </c>
      <c r="R27" s="29"/>
      <c r="S27" s="29">
        <f t="shared" si="7"/>
        <v>333955.97008225275</v>
      </c>
      <c r="T27" s="57">
        <f t="shared" si="8"/>
        <v>13808060.476080963</v>
      </c>
      <c r="U27" s="39">
        <f t="shared" si="9"/>
        <v>0</v>
      </c>
      <c r="V27" s="40">
        <f t="shared" si="10"/>
        <v>0</v>
      </c>
      <c r="W27" s="40">
        <f t="shared" si="11"/>
        <v>0</v>
      </c>
      <c r="X27" s="40">
        <f t="shared" si="12"/>
        <v>1.2883567598059593</v>
      </c>
      <c r="Y27" s="40">
        <f t="shared" si="0"/>
        <v>0</v>
      </c>
      <c r="Z27" s="40">
        <f t="shared" si="13"/>
        <v>3.1931950011332963E-2</v>
      </c>
      <c r="AA27" s="41">
        <f t="shared" si="14"/>
        <v>1.3202887098172922</v>
      </c>
      <c r="AB27" s="42">
        <v>8</v>
      </c>
      <c r="AC27" s="43">
        <f t="shared" si="15"/>
        <v>1.74316227727101</v>
      </c>
    </row>
    <row r="28" spans="1:29" x14ac:dyDescent="0.25">
      <c r="A28" s="12">
        <f t="shared" si="16"/>
        <v>2046</v>
      </c>
      <c r="B28" s="18">
        <f>[5]Inputs!$C121</f>
        <v>0</v>
      </c>
      <c r="C28" s="19">
        <f>[5]Inputs!$D121</f>
        <v>35692554.399999999</v>
      </c>
      <c r="D28" s="18">
        <f>[5]Inputs!$F121</f>
        <v>0</v>
      </c>
      <c r="E28" s="19"/>
      <c r="F28" s="18">
        <f t="shared" si="1"/>
        <v>0</v>
      </c>
      <c r="G28" s="19">
        <v>35692554.399999999</v>
      </c>
      <c r="H28" s="18">
        <v>0</v>
      </c>
      <c r="I28" s="19">
        <v>84.688230836170177</v>
      </c>
      <c r="J28" s="18">
        <f t="shared" si="2"/>
        <v>84.688230836170177</v>
      </c>
      <c r="K28" s="20"/>
      <c r="L28" s="20"/>
      <c r="N28" s="28">
        <f t="shared" si="3"/>
        <v>35692554.399999999</v>
      </c>
      <c r="O28" s="28">
        <f t="shared" si="4"/>
        <v>0</v>
      </c>
      <c r="P28" s="35">
        <f t="shared" si="5"/>
        <v>0</v>
      </c>
      <c r="Q28" s="29">
        <f t="shared" si="6"/>
        <v>0</v>
      </c>
      <c r="R28" s="29"/>
      <c r="S28" s="29">
        <f t="shared" si="7"/>
        <v>310845.61064735852</v>
      </c>
      <c r="T28" s="57">
        <f t="shared" si="8"/>
        <v>36003400.010647357</v>
      </c>
      <c r="U28" s="39">
        <f t="shared" si="9"/>
        <v>3.4128237401980517</v>
      </c>
      <c r="V28" s="40">
        <f t="shared" si="10"/>
        <v>0</v>
      </c>
      <c r="W28" s="40">
        <f t="shared" si="11"/>
        <v>0</v>
      </c>
      <c r="X28" s="40">
        <f t="shared" si="12"/>
        <v>0</v>
      </c>
      <c r="Y28" s="40">
        <f t="shared" si="0"/>
        <v>0</v>
      </c>
      <c r="Z28" s="40">
        <f t="shared" si="13"/>
        <v>2.9722201097315281E-2</v>
      </c>
      <c r="AA28" s="41">
        <f t="shared" si="14"/>
        <v>3.442545941295367</v>
      </c>
      <c r="AB28" s="42">
        <v>8</v>
      </c>
      <c r="AC28" s="43">
        <f t="shared" si="15"/>
        <v>11.851122557929203</v>
      </c>
    </row>
    <row r="29" spans="1:29" x14ac:dyDescent="0.25">
      <c r="A29" s="12">
        <f t="shared" si="16"/>
        <v>2047</v>
      </c>
      <c r="B29" s="18">
        <f>[5]Inputs!$C122</f>
        <v>0</v>
      </c>
      <c r="C29" s="19">
        <f>[5]Inputs!$D122</f>
        <v>0</v>
      </c>
      <c r="D29" s="18">
        <f>[5]Inputs!$F122</f>
        <v>0</v>
      </c>
      <c r="E29" s="19"/>
      <c r="F29" s="18">
        <f t="shared" si="1"/>
        <v>0</v>
      </c>
      <c r="G29" s="19">
        <v>0</v>
      </c>
      <c r="H29" s="18">
        <v>0</v>
      </c>
      <c r="I29" s="19">
        <v>78.997956696440454</v>
      </c>
      <c r="J29" s="18">
        <f t="shared" si="2"/>
        <v>78.997956696440454</v>
      </c>
      <c r="K29" s="20"/>
      <c r="L29" s="20"/>
      <c r="N29" s="28">
        <f t="shared" si="3"/>
        <v>0</v>
      </c>
      <c r="O29" s="28">
        <f t="shared" si="4"/>
        <v>0</v>
      </c>
      <c r="P29" s="35">
        <f t="shared" si="5"/>
        <v>0</v>
      </c>
      <c r="Q29" s="29">
        <f t="shared" si="6"/>
        <v>0</v>
      </c>
      <c r="R29" s="29"/>
      <c r="S29" s="29">
        <f t="shared" si="7"/>
        <v>289959.63012502476</v>
      </c>
      <c r="T29" s="57">
        <f t="shared" si="8"/>
        <v>289959.63012502476</v>
      </c>
      <c r="U29" s="39">
        <f t="shared" si="9"/>
        <v>0</v>
      </c>
      <c r="V29" s="40">
        <f t="shared" si="10"/>
        <v>0</v>
      </c>
      <c r="W29" s="40">
        <f t="shared" si="11"/>
        <v>0</v>
      </c>
      <c r="X29" s="40">
        <f t="shared" si="12"/>
        <v>0</v>
      </c>
      <c r="Y29" s="40">
        <f t="shared" si="0"/>
        <v>0</v>
      </c>
      <c r="Z29" s="40">
        <f t="shared" si="13"/>
        <v>2.7725141168089967E-2</v>
      </c>
      <c r="AA29" s="41">
        <f t="shared" si="14"/>
        <v>2.7725141168089967E-2</v>
      </c>
      <c r="AB29" s="42">
        <v>8</v>
      </c>
      <c r="AC29" s="43">
        <f t="shared" si="15"/>
        <v>7.6868345279051714E-4</v>
      </c>
    </row>
    <row r="30" spans="1:29" x14ac:dyDescent="0.25">
      <c r="A30" s="12">
        <f t="shared" si="16"/>
        <v>2048</v>
      </c>
      <c r="B30" s="18">
        <f>[5]Inputs!$C123</f>
        <v>0</v>
      </c>
      <c r="C30" s="19">
        <f>[5]Inputs!$D123</f>
        <v>0</v>
      </c>
      <c r="D30" s="18">
        <f>[5]Inputs!$F123</f>
        <v>0</v>
      </c>
      <c r="E30" s="19"/>
      <c r="F30" s="18">
        <f t="shared" si="1"/>
        <v>0</v>
      </c>
      <c r="G30" s="19">
        <v>0</v>
      </c>
      <c r="H30" s="18">
        <v>0</v>
      </c>
      <c r="I30" s="19">
        <v>78.40298553517168</v>
      </c>
      <c r="J30" s="18">
        <f t="shared" si="2"/>
        <v>78.40298553517168</v>
      </c>
      <c r="K30" s="20"/>
      <c r="L30" s="20"/>
      <c r="N30" s="28">
        <f t="shared" si="3"/>
        <v>0</v>
      </c>
      <c r="O30" s="28">
        <f t="shared" si="4"/>
        <v>0</v>
      </c>
      <c r="P30" s="35">
        <f t="shared" si="5"/>
        <v>0</v>
      </c>
      <c r="Q30" s="29">
        <f t="shared" si="6"/>
        <v>0</v>
      </c>
      <c r="R30" s="29"/>
      <c r="S30" s="29">
        <f t="shared" si="7"/>
        <v>287775.80632665142</v>
      </c>
      <c r="T30" s="57">
        <f t="shared" si="8"/>
        <v>287775.80632665142</v>
      </c>
      <c r="U30" s="39">
        <f t="shared" si="9"/>
        <v>0</v>
      </c>
      <c r="V30" s="40">
        <f t="shared" si="10"/>
        <v>0</v>
      </c>
      <c r="W30" s="40">
        <f t="shared" si="11"/>
        <v>0</v>
      </c>
      <c r="X30" s="40">
        <f t="shared" si="12"/>
        <v>0</v>
      </c>
      <c r="Y30" s="40">
        <f t="shared" si="0"/>
        <v>0</v>
      </c>
      <c r="Z30" s="40">
        <f t="shared" si="13"/>
        <v>2.7516329951611213E-2</v>
      </c>
      <c r="AA30" s="41">
        <f t="shared" si="14"/>
        <v>2.7516329951611213E-2</v>
      </c>
      <c r="AB30" s="42">
        <v>8</v>
      </c>
      <c r="AC30" s="43">
        <f t="shared" si="15"/>
        <v>7.5714841400593633E-4</v>
      </c>
    </row>
    <row r="31" spans="1:29" x14ac:dyDescent="0.25">
      <c r="A31" s="12">
        <f t="shared" si="16"/>
        <v>2049</v>
      </c>
      <c r="B31" s="18">
        <f>[5]Inputs!$C124</f>
        <v>0</v>
      </c>
      <c r="C31" s="19">
        <f>[5]Inputs!$D124</f>
        <v>0</v>
      </c>
      <c r="D31" s="18">
        <f>[5]Inputs!$F124</f>
        <v>32094970.323655199</v>
      </c>
      <c r="E31" s="19"/>
      <c r="F31" s="18">
        <f t="shared" si="1"/>
        <v>0</v>
      </c>
      <c r="G31" s="19">
        <v>32094970.323655199</v>
      </c>
      <c r="H31" s="18">
        <v>2168.4830000000002</v>
      </c>
      <c r="I31" s="19">
        <v>2244.9474986594469</v>
      </c>
      <c r="J31" s="18">
        <f t="shared" si="2"/>
        <v>76.46449865944669</v>
      </c>
      <c r="K31" s="20"/>
      <c r="L31" s="20"/>
      <c r="N31" s="28">
        <f t="shared" si="3"/>
        <v>0</v>
      </c>
      <c r="O31" s="28">
        <f t="shared" si="4"/>
        <v>32094970.323655199</v>
      </c>
      <c r="P31" s="35">
        <f t="shared" si="5"/>
        <v>0</v>
      </c>
      <c r="Q31" s="29">
        <f t="shared" si="6"/>
        <v>7959351.7972691534</v>
      </c>
      <c r="R31" s="29"/>
      <c r="S31" s="29">
        <f t="shared" si="7"/>
        <v>280660.64840367745</v>
      </c>
      <c r="T31" s="57">
        <f t="shared" si="8"/>
        <v>40334982.769328028</v>
      </c>
      <c r="U31" s="39">
        <f t="shared" si="9"/>
        <v>0</v>
      </c>
      <c r="V31" s="40">
        <f t="shared" si="10"/>
        <v>3.0688326599993192</v>
      </c>
      <c r="W31" s="40">
        <f t="shared" si="11"/>
        <v>0</v>
      </c>
      <c r="X31" s="40">
        <f t="shared" si="12"/>
        <v>0.76105129562562768</v>
      </c>
      <c r="Y31" s="40">
        <f t="shared" si="0"/>
        <v>0</v>
      </c>
      <c r="Z31" s="40">
        <f t="shared" si="13"/>
        <v>2.6835998148999077E-2</v>
      </c>
      <c r="AA31" s="41">
        <f t="shared" si="14"/>
        <v>3.8567199537739461</v>
      </c>
      <c r="AB31" s="42">
        <v>8</v>
      </c>
      <c r="AC31" s="43">
        <f t="shared" si="15"/>
        <v>14.874288801838109</v>
      </c>
    </row>
    <row r="32" spans="1:29" x14ac:dyDescent="0.25">
      <c r="A32" s="12">
        <f t="shared" si="16"/>
        <v>2050</v>
      </c>
      <c r="B32" s="18">
        <f>[5]Inputs!$C125</f>
        <v>0</v>
      </c>
      <c r="C32" s="19">
        <f>[5]Inputs!$D125</f>
        <v>21978239.399999999</v>
      </c>
      <c r="D32" s="18">
        <f>[5]Inputs!$F125</f>
        <v>0</v>
      </c>
      <c r="E32" s="19"/>
      <c r="F32" s="18">
        <f t="shared" si="1"/>
        <v>0</v>
      </c>
      <c r="G32" s="19">
        <v>21978239.399999999</v>
      </c>
      <c r="H32" s="18">
        <v>0</v>
      </c>
      <c r="I32" s="19">
        <v>65.154436461386766</v>
      </c>
      <c r="J32" s="18">
        <f t="shared" si="2"/>
        <v>65.154436461386766</v>
      </c>
      <c r="K32" s="20"/>
      <c r="L32" s="20"/>
      <c r="N32" s="28">
        <f t="shared" si="3"/>
        <v>21978239.399999999</v>
      </c>
      <c r="O32" s="28">
        <f t="shared" si="4"/>
        <v>0</v>
      </c>
      <c r="P32" s="35">
        <f t="shared" si="5"/>
        <v>0</v>
      </c>
      <c r="Q32" s="29">
        <f t="shared" si="6"/>
        <v>0</v>
      </c>
      <c r="R32" s="29"/>
      <c r="S32" s="29">
        <f t="shared" si="7"/>
        <v>239147.40440621279</v>
      </c>
      <c r="T32" s="57">
        <f t="shared" si="8"/>
        <v>22217386.804406211</v>
      </c>
      <c r="U32" s="39">
        <f t="shared" si="9"/>
        <v>2.1014987145911914</v>
      </c>
      <c r="V32" s="40">
        <f t="shared" si="10"/>
        <v>0</v>
      </c>
      <c r="W32" s="40">
        <f t="shared" si="11"/>
        <v>0</v>
      </c>
      <c r="X32" s="40">
        <f t="shared" si="12"/>
        <v>0</v>
      </c>
      <c r="Y32" s="40">
        <f t="shared" si="0"/>
        <v>0</v>
      </c>
      <c r="Z32" s="40">
        <f t="shared" si="13"/>
        <v>2.286661610199205E-2</v>
      </c>
      <c r="AA32" s="41">
        <f t="shared" si="14"/>
        <v>2.1243653306931836</v>
      </c>
      <c r="AB32" s="42">
        <v>8</v>
      </c>
      <c r="AC32" s="43">
        <f t="shared" si="15"/>
        <v>4.5129280582511591</v>
      </c>
    </row>
    <row r="33" spans="1:29" x14ac:dyDescent="0.25">
      <c r="A33" s="12">
        <f t="shared" si="16"/>
        <v>2051</v>
      </c>
      <c r="B33" s="18">
        <f>[5]Inputs!$C126</f>
        <v>0</v>
      </c>
      <c r="C33" s="19">
        <f>[5]Inputs!$D126</f>
        <v>0</v>
      </c>
      <c r="D33" s="18">
        <f>[5]Inputs!$F126</f>
        <v>0</v>
      </c>
      <c r="E33" s="19"/>
      <c r="F33" s="18">
        <f t="shared" si="1"/>
        <v>0</v>
      </c>
      <c r="G33" s="19">
        <v>0</v>
      </c>
      <c r="H33" s="18">
        <v>1035.7260000000001</v>
      </c>
      <c r="I33" s="19">
        <v>1084.5285912622951</v>
      </c>
      <c r="J33" s="18">
        <f t="shared" si="2"/>
        <v>48.802591262294982</v>
      </c>
      <c r="K33" s="20"/>
      <c r="L33" s="20"/>
      <c r="N33" s="28">
        <f t="shared" si="3"/>
        <v>0</v>
      </c>
      <c r="O33" s="28">
        <f t="shared" si="4"/>
        <v>0</v>
      </c>
      <c r="P33" s="35">
        <f t="shared" si="5"/>
        <v>0</v>
      </c>
      <c r="Q33" s="29">
        <f t="shared" si="6"/>
        <v>3801601.2113437788</v>
      </c>
      <c r="R33" s="29"/>
      <c r="S33" s="29">
        <f t="shared" si="7"/>
        <v>179128.44715634821</v>
      </c>
      <c r="T33" s="57">
        <f t="shared" si="8"/>
        <v>3980729.658500127</v>
      </c>
      <c r="U33" s="39">
        <f t="shared" si="9"/>
        <v>0</v>
      </c>
      <c r="V33" s="40">
        <f t="shared" si="10"/>
        <v>0</v>
      </c>
      <c r="W33" s="40">
        <f t="shared" si="11"/>
        <v>0</v>
      </c>
      <c r="X33" s="40">
        <f t="shared" si="12"/>
        <v>0.36349863670277738</v>
      </c>
      <c r="Y33" s="40">
        <f t="shared" si="0"/>
        <v>0</v>
      </c>
      <c r="Z33" s="40">
        <f t="shared" si="13"/>
        <v>1.7127768725905403E-2</v>
      </c>
      <c r="AA33" s="41">
        <f t="shared" si="14"/>
        <v>0.38062640542868276</v>
      </c>
      <c r="AB33" s="42">
        <v>8</v>
      </c>
      <c r="AC33" s="43">
        <f t="shared" si="15"/>
        <v>0.14487646050955999</v>
      </c>
    </row>
    <row r="34" spans="1:29" x14ac:dyDescent="0.25">
      <c r="A34" s="12">
        <f t="shared" si="16"/>
        <v>2052</v>
      </c>
      <c r="B34" s="18">
        <f>[5]Inputs!$C127</f>
        <v>0</v>
      </c>
      <c r="C34" s="19">
        <f>[5]Inputs!$D127</f>
        <v>0</v>
      </c>
      <c r="D34" s="18">
        <f>[5]Inputs!$F127</f>
        <v>0</v>
      </c>
      <c r="E34" s="19"/>
      <c r="F34" s="18">
        <f t="shared" si="1"/>
        <v>0</v>
      </c>
      <c r="G34" s="19">
        <v>0</v>
      </c>
      <c r="H34" s="18">
        <v>0</v>
      </c>
      <c r="I34" s="19">
        <v>48.802591262295088</v>
      </c>
      <c r="J34" s="18">
        <f t="shared" si="2"/>
        <v>48.802591262295088</v>
      </c>
      <c r="K34" s="20"/>
      <c r="L34" s="20"/>
      <c r="N34" s="28">
        <f t="shared" si="3"/>
        <v>0</v>
      </c>
      <c r="O34" s="28">
        <f t="shared" si="4"/>
        <v>0</v>
      </c>
      <c r="P34" s="35">
        <f t="shared" si="5"/>
        <v>0</v>
      </c>
      <c r="Q34" s="29">
        <f t="shared" si="6"/>
        <v>0</v>
      </c>
      <c r="R34" s="29"/>
      <c r="S34" s="29">
        <f t="shared" si="7"/>
        <v>179128.44715634859</v>
      </c>
      <c r="T34" s="57">
        <f t="shared" si="8"/>
        <v>179128.44715634859</v>
      </c>
      <c r="U34" s="39">
        <f t="shared" si="9"/>
        <v>0</v>
      </c>
      <c r="V34" s="40">
        <f t="shared" si="10"/>
        <v>0</v>
      </c>
      <c r="W34" s="40">
        <f t="shared" si="11"/>
        <v>0</v>
      </c>
      <c r="X34" s="40">
        <f t="shared" si="12"/>
        <v>0</v>
      </c>
      <c r="Y34" s="40">
        <f t="shared" si="0"/>
        <v>0</v>
      </c>
      <c r="Z34" s="40">
        <f t="shared" si="13"/>
        <v>1.7127768725905441E-2</v>
      </c>
      <c r="AA34" s="41">
        <f t="shared" si="14"/>
        <v>1.7127768725905441E-2</v>
      </c>
      <c r="AB34" s="42">
        <v>8</v>
      </c>
      <c r="AC34" s="43">
        <f t="shared" si="15"/>
        <v>2.9336046152810452E-4</v>
      </c>
    </row>
    <row r="35" spans="1:29" x14ac:dyDescent="0.25">
      <c r="A35" s="12">
        <f t="shared" si="16"/>
        <v>2053</v>
      </c>
      <c r="B35" s="18">
        <f>[5]Inputs!$C128</f>
        <v>0</v>
      </c>
      <c r="C35" s="19">
        <f>[5]Inputs!$D128</f>
        <v>0</v>
      </c>
      <c r="D35" s="18">
        <f>[5]Inputs!$F128</f>
        <v>0</v>
      </c>
      <c r="E35" s="19"/>
      <c r="F35" s="18">
        <f t="shared" si="1"/>
        <v>0</v>
      </c>
      <c r="G35" s="19">
        <v>0</v>
      </c>
      <c r="H35" s="18">
        <v>845.375</v>
      </c>
      <c r="I35" s="19">
        <v>894.1775912622951</v>
      </c>
      <c r="J35" s="18">
        <f t="shared" si="2"/>
        <v>48.802591262295095</v>
      </c>
      <c r="K35" s="20"/>
      <c r="L35" s="20"/>
      <c r="N35" s="28">
        <f t="shared" si="3"/>
        <v>0</v>
      </c>
      <c r="O35" s="28">
        <f t="shared" si="4"/>
        <v>0</v>
      </c>
      <c r="P35" s="35">
        <f t="shared" si="5"/>
        <v>0</v>
      </c>
      <c r="Q35" s="29">
        <f t="shared" si="6"/>
        <v>3102923.5763510298</v>
      </c>
      <c r="R35" s="29"/>
      <c r="S35" s="29">
        <f t="shared" si="7"/>
        <v>179128.44715634861</v>
      </c>
      <c r="T35" s="57">
        <f t="shared" si="8"/>
        <v>3282052.0235073785</v>
      </c>
      <c r="U35" s="39">
        <f t="shared" si="9"/>
        <v>0</v>
      </c>
      <c r="V35" s="40">
        <f t="shared" si="10"/>
        <v>0</v>
      </c>
      <c r="W35" s="40">
        <f t="shared" si="11"/>
        <v>0</v>
      </c>
      <c r="X35" s="40">
        <f t="shared" si="12"/>
        <v>0.29669300568162854</v>
      </c>
      <c r="Y35" s="40">
        <f t="shared" si="0"/>
        <v>0</v>
      </c>
      <c r="Z35" s="40">
        <f t="shared" si="13"/>
        <v>1.7127768725905445E-2</v>
      </c>
      <c r="AA35" s="41">
        <f t="shared" si="14"/>
        <v>0.31382077440753398</v>
      </c>
      <c r="AB35" s="42">
        <v>8</v>
      </c>
      <c r="AC35" s="43">
        <f t="shared" si="15"/>
        <v>9.8483478449744338E-2</v>
      </c>
    </row>
    <row r="36" spans="1:29" x14ac:dyDescent="0.25">
      <c r="A36" s="12">
        <f t="shared" si="16"/>
        <v>2054</v>
      </c>
      <c r="B36" s="18">
        <f>[5]Inputs!$C129</f>
        <v>0</v>
      </c>
      <c r="C36" s="19">
        <f>[5]Inputs!$D129</f>
        <v>0</v>
      </c>
      <c r="D36" s="18">
        <f>[5]Inputs!$F129</f>
        <v>0</v>
      </c>
      <c r="E36" s="19"/>
      <c r="F36" s="18">
        <f t="shared" si="1"/>
        <v>0</v>
      </c>
      <c r="G36" s="19">
        <v>0</v>
      </c>
      <c r="H36" s="18">
        <v>1640</v>
      </c>
      <c r="I36" s="19">
        <v>1688.802591262295</v>
      </c>
      <c r="J36" s="18">
        <f t="shared" si="2"/>
        <v>48.802591262294982</v>
      </c>
      <c r="K36" s="20"/>
      <c r="L36" s="20"/>
      <c r="N36" s="28">
        <f t="shared" si="3"/>
        <v>0</v>
      </c>
      <c r="O36" s="28">
        <f t="shared" si="4"/>
        <v>0</v>
      </c>
      <c r="P36" s="35">
        <f t="shared" si="5"/>
        <v>0</v>
      </c>
      <c r="Q36" s="29">
        <f t="shared" si="6"/>
        <v>6019570.8001959948</v>
      </c>
      <c r="R36" s="29"/>
      <c r="S36" s="29">
        <f t="shared" si="7"/>
        <v>179128.44715634821</v>
      </c>
      <c r="T36" s="57">
        <f t="shared" si="8"/>
        <v>6198699.2473523431</v>
      </c>
      <c r="U36" s="39">
        <f t="shared" si="9"/>
        <v>0</v>
      </c>
      <c r="V36" s="40">
        <f t="shared" si="10"/>
        <v>0</v>
      </c>
      <c r="W36" s="40">
        <f t="shared" si="11"/>
        <v>0</v>
      </c>
      <c r="X36" s="40">
        <f t="shared" si="12"/>
        <v>0.5755747796159939</v>
      </c>
      <c r="Y36" s="40">
        <f t="shared" si="0"/>
        <v>0</v>
      </c>
      <c r="Z36" s="40">
        <f t="shared" si="13"/>
        <v>1.7127768725905403E-2</v>
      </c>
      <c r="AA36" s="41">
        <f t="shared" si="14"/>
        <v>0.59270254834189928</v>
      </c>
      <c r="AB36" s="42">
        <v>8</v>
      </c>
      <c r="AC36" s="43">
        <f t="shared" si="15"/>
        <v>0.35129631081098145</v>
      </c>
    </row>
    <row r="37" spans="1:29" x14ac:dyDescent="0.25">
      <c r="A37" s="12">
        <f t="shared" si="16"/>
        <v>2055</v>
      </c>
      <c r="B37" s="18">
        <f>[5]Inputs!$C130</f>
        <v>0</v>
      </c>
      <c r="C37" s="19">
        <f>[5]Inputs!$D130</f>
        <v>0</v>
      </c>
      <c r="D37" s="18">
        <f>[5]Inputs!$F130</f>
        <v>10423000.0568096</v>
      </c>
      <c r="E37" s="19"/>
      <c r="F37" s="18">
        <f t="shared" si="1"/>
        <v>0</v>
      </c>
      <c r="G37" s="19">
        <v>10423000.0568096</v>
      </c>
      <c r="H37" s="18">
        <v>0</v>
      </c>
      <c r="I37" s="19">
        <v>48.802591262295088</v>
      </c>
      <c r="J37" s="18">
        <f t="shared" si="2"/>
        <v>48.802591262295088</v>
      </c>
      <c r="K37" s="20"/>
      <c r="L37" s="20"/>
      <c r="N37" s="28">
        <f t="shared" si="3"/>
        <v>0</v>
      </c>
      <c r="O37" s="28">
        <f t="shared" si="4"/>
        <v>10423000.0568096</v>
      </c>
      <c r="P37" s="35">
        <f t="shared" si="5"/>
        <v>0</v>
      </c>
      <c r="Q37" s="29">
        <f t="shared" si="6"/>
        <v>0</v>
      </c>
      <c r="R37" s="29"/>
      <c r="S37" s="29">
        <f t="shared" si="7"/>
        <v>179128.44715634859</v>
      </c>
      <c r="T37" s="57">
        <f t="shared" si="8"/>
        <v>10602128.50396595</v>
      </c>
      <c r="U37" s="39">
        <f t="shared" si="9"/>
        <v>0</v>
      </c>
      <c r="V37" s="40">
        <f t="shared" si="10"/>
        <v>0.99661855633301055</v>
      </c>
      <c r="W37" s="40">
        <f t="shared" si="11"/>
        <v>0</v>
      </c>
      <c r="X37" s="40">
        <f t="shared" si="12"/>
        <v>0</v>
      </c>
      <c r="Y37" s="40">
        <f t="shared" si="0"/>
        <v>0</v>
      </c>
      <c r="Z37" s="40">
        <f t="shared" si="13"/>
        <v>1.7127768725905441E-2</v>
      </c>
      <c r="AA37" s="41">
        <f t="shared" si="14"/>
        <v>1.013746325058916</v>
      </c>
      <c r="AB37" s="42">
        <v>8</v>
      </c>
      <c r="AC37" s="43">
        <f t="shared" si="15"/>
        <v>1.0276816115704575</v>
      </c>
    </row>
    <row r="38" spans="1:29" x14ac:dyDescent="0.25">
      <c r="A38" s="12">
        <f t="shared" si="16"/>
        <v>2056</v>
      </c>
      <c r="B38" s="18">
        <f>[5]Inputs!$C131</f>
        <v>0</v>
      </c>
      <c r="C38" s="19">
        <f>[5]Inputs!$D131</f>
        <v>0</v>
      </c>
      <c r="D38" s="18">
        <f>[5]Inputs!$F131</f>
        <v>0</v>
      </c>
      <c r="E38" s="19"/>
      <c r="F38" s="18">
        <f t="shared" si="1"/>
        <v>0</v>
      </c>
      <c r="G38" s="19">
        <v>0</v>
      </c>
      <c r="H38" s="18">
        <v>0</v>
      </c>
      <c r="I38" s="19">
        <v>48.802591262295088</v>
      </c>
      <c r="J38" s="18">
        <f t="shared" si="2"/>
        <v>48.802591262295088</v>
      </c>
      <c r="K38" s="20"/>
      <c r="L38" s="20"/>
      <c r="N38" s="28">
        <f t="shared" si="3"/>
        <v>0</v>
      </c>
      <c r="O38" s="28">
        <f t="shared" si="4"/>
        <v>0</v>
      </c>
      <c r="P38" s="35">
        <f t="shared" si="5"/>
        <v>0</v>
      </c>
      <c r="Q38" s="29">
        <f t="shared" si="6"/>
        <v>0</v>
      </c>
      <c r="R38" s="29"/>
      <c r="S38" s="29">
        <f t="shared" si="7"/>
        <v>179128.44715634859</v>
      </c>
      <c r="T38" s="57">
        <f t="shared" si="8"/>
        <v>179128.44715634859</v>
      </c>
      <c r="U38" s="39">
        <f t="shared" si="9"/>
        <v>0</v>
      </c>
      <c r="V38" s="40">
        <f t="shared" si="10"/>
        <v>0</v>
      </c>
      <c r="W38" s="40">
        <f t="shared" si="11"/>
        <v>0</v>
      </c>
      <c r="X38" s="40">
        <f t="shared" si="12"/>
        <v>0</v>
      </c>
      <c r="Y38" s="40">
        <f t="shared" si="0"/>
        <v>0</v>
      </c>
      <c r="Z38" s="40">
        <f t="shared" si="13"/>
        <v>1.7127768725905441E-2</v>
      </c>
      <c r="AA38" s="41">
        <f t="shared" si="14"/>
        <v>1.7127768725905441E-2</v>
      </c>
      <c r="AB38" s="42">
        <v>8</v>
      </c>
      <c r="AC38" s="43">
        <f t="shared" si="15"/>
        <v>2.9336046152810452E-4</v>
      </c>
    </row>
    <row r="39" spans="1:29" x14ac:dyDescent="0.25">
      <c r="A39" s="12">
        <f t="shared" si="16"/>
        <v>2057</v>
      </c>
      <c r="B39" s="18">
        <f>[5]Inputs!$C132</f>
        <v>0</v>
      </c>
      <c r="C39" s="19">
        <f>[5]Inputs!$D132</f>
        <v>0</v>
      </c>
      <c r="D39" s="18">
        <f>[5]Inputs!$F132</f>
        <v>0</v>
      </c>
      <c r="E39" s="19"/>
      <c r="F39" s="18">
        <f t="shared" si="1"/>
        <v>0</v>
      </c>
      <c r="G39" s="19">
        <v>0</v>
      </c>
      <c r="H39" s="18">
        <v>0</v>
      </c>
      <c r="I39" s="19">
        <v>48.802591262295088</v>
      </c>
      <c r="J39" s="18">
        <f t="shared" si="2"/>
        <v>48.802591262295088</v>
      </c>
      <c r="K39" s="20"/>
      <c r="L39" s="20"/>
      <c r="N39" s="28">
        <f t="shared" si="3"/>
        <v>0</v>
      </c>
      <c r="O39" s="28">
        <f t="shared" si="4"/>
        <v>0</v>
      </c>
      <c r="P39" s="35">
        <f t="shared" si="5"/>
        <v>0</v>
      </c>
      <c r="Q39" s="29">
        <f t="shared" si="6"/>
        <v>0</v>
      </c>
      <c r="R39" s="29"/>
      <c r="S39" s="29">
        <f t="shared" si="7"/>
        <v>179128.44715634859</v>
      </c>
      <c r="T39" s="57">
        <f t="shared" si="8"/>
        <v>179128.44715634859</v>
      </c>
      <c r="U39" s="39">
        <f t="shared" si="9"/>
        <v>0</v>
      </c>
      <c r="V39" s="40">
        <f t="shared" si="10"/>
        <v>0</v>
      </c>
      <c r="W39" s="40">
        <f t="shared" si="11"/>
        <v>0</v>
      </c>
      <c r="X39" s="40">
        <f t="shared" si="12"/>
        <v>0</v>
      </c>
      <c r="Y39" s="40">
        <f t="shared" si="0"/>
        <v>0</v>
      </c>
      <c r="Z39" s="40">
        <f t="shared" si="13"/>
        <v>1.7127768725905441E-2</v>
      </c>
      <c r="AA39" s="41">
        <f t="shared" si="14"/>
        <v>1.7127768725905441E-2</v>
      </c>
      <c r="AB39" s="42">
        <v>8</v>
      </c>
      <c r="AC39" s="43">
        <f t="shared" si="15"/>
        <v>2.9336046152810452E-4</v>
      </c>
    </row>
    <row r="40" spans="1:29" x14ac:dyDescent="0.25">
      <c r="A40" s="12">
        <f t="shared" si="16"/>
        <v>2058</v>
      </c>
      <c r="B40" s="18">
        <f>[5]Inputs!$C133</f>
        <v>0</v>
      </c>
      <c r="C40" s="19">
        <f>[5]Inputs!$D133</f>
        <v>10528649.5</v>
      </c>
      <c r="D40" s="18">
        <f>[5]Inputs!$F133</f>
        <v>0</v>
      </c>
      <c r="E40" s="19"/>
      <c r="F40" s="18">
        <f t="shared" si="1"/>
        <v>0</v>
      </c>
      <c r="G40" s="19">
        <v>10528649.5</v>
      </c>
      <c r="H40" s="18">
        <v>0</v>
      </c>
      <c r="I40" s="19">
        <v>48.802591262295088</v>
      </c>
      <c r="J40" s="18">
        <f t="shared" si="2"/>
        <v>48.802591262295088</v>
      </c>
      <c r="K40" s="20"/>
      <c r="L40" s="20"/>
      <c r="N40" s="28">
        <f t="shared" si="3"/>
        <v>10528649.5</v>
      </c>
      <c r="O40" s="28">
        <f t="shared" si="4"/>
        <v>0</v>
      </c>
      <c r="P40" s="35">
        <f t="shared" si="5"/>
        <v>0</v>
      </c>
      <c r="Q40" s="29">
        <f t="shared" si="6"/>
        <v>0</v>
      </c>
      <c r="R40" s="29"/>
      <c r="S40" s="29">
        <f t="shared" si="7"/>
        <v>179128.44715634859</v>
      </c>
      <c r="T40" s="57">
        <f t="shared" si="8"/>
        <v>10707777.947156349</v>
      </c>
      <c r="U40" s="39">
        <f t="shared" si="9"/>
        <v>1.0067204650901742</v>
      </c>
      <c r="V40" s="40">
        <f t="shared" si="10"/>
        <v>0</v>
      </c>
      <c r="W40" s="40">
        <f t="shared" si="11"/>
        <v>0</v>
      </c>
      <c r="X40" s="40">
        <f t="shared" si="12"/>
        <v>0</v>
      </c>
      <c r="Y40" s="40">
        <f t="shared" si="0"/>
        <v>0</v>
      </c>
      <c r="Z40" s="40">
        <f t="shared" si="13"/>
        <v>1.7127768725905441E-2</v>
      </c>
      <c r="AA40" s="41">
        <f t="shared" si="14"/>
        <v>1.0238482338160797</v>
      </c>
      <c r="AB40" s="42">
        <v>8</v>
      </c>
      <c r="AC40" s="43">
        <f t="shared" si="15"/>
        <v>1.0482652058883057</v>
      </c>
    </row>
    <row r="41" spans="1:29" x14ac:dyDescent="0.25">
      <c r="A41" s="12">
        <f t="shared" si="16"/>
        <v>2059</v>
      </c>
      <c r="B41" s="18">
        <f>[5]Inputs!$C134</f>
        <v>0</v>
      </c>
      <c r="C41" s="19">
        <f>[5]Inputs!$D134</f>
        <v>0</v>
      </c>
      <c r="D41" s="18">
        <f>[5]Inputs!$F134</f>
        <v>0</v>
      </c>
      <c r="E41" s="19"/>
      <c r="F41" s="18">
        <f t="shared" si="1"/>
        <v>0</v>
      </c>
      <c r="G41" s="19">
        <v>0</v>
      </c>
      <c r="H41" s="18">
        <v>0</v>
      </c>
      <c r="I41" s="19">
        <v>35.876705467213114</v>
      </c>
      <c r="J41" s="18">
        <f t="shared" si="2"/>
        <v>35.876705467213114</v>
      </c>
      <c r="K41" s="20"/>
      <c r="L41" s="20"/>
      <c r="N41" s="28">
        <f t="shared" si="3"/>
        <v>0</v>
      </c>
      <c r="O41" s="28">
        <f t="shared" si="4"/>
        <v>0</v>
      </c>
      <c r="P41" s="35">
        <f t="shared" si="5"/>
        <v>0</v>
      </c>
      <c r="Q41" s="29">
        <f t="shared" si="6"/>
        <v>0</v>
      </c>
      <c r="R41" s="29"/>
      <c r="S41" s="29">
        <f t="shared" si="7"/>
        <v>131684.37112052931</v>
      </c>
      <c r="T41" s="57">
        <f t="shared" si="8"/>
        <v>131684.37112052931</v>
      </c>
      <c r="U41" s="39">
        <f t="shared" si="9"/>
        <v>0</v>
      </c>
      <c r="V41" s="40">
        <f t="shared" si="10"/>
        <v>0</v>
      </c>
      <c r="W41" s="40">
        <f t="shared" si="11"/>
        <v>0</v>
      </c>
      <c r="X41" s="40">
        <f t="shared" si="12"/>
        <v>0</v>
      </c>
      <c r="Y41" s="40">
        <f t="shared" si="0"/>
        <v>0</v>
      </c>
      <c r="Z41" s="40">
        <f t="shared" si="13"/>
        <v>1.2591296855267751E-2</v>
      </c>
      <c r="AA41" s="41">
        <f t="shared" si="14"/>
        <v>1.2591296855267751E-2</v>
      </c>
      <c r="AB41" s="42">
        <v>8</v>
      </c>
      <c r="AC41" s="43">
        <f t="shared" si="15"/>
        <v>1.5854075649747554E-4</v>
      </c>
    </row>
    <row r="42" spans="1:29" x14ac:dyDescent="0.25">
      <c r="A42" s="12">
        <f t="shared" si="16"/>
        <v>2060</v>
      </c>
      <c r="B42" s="18">
        <f>[5]Inputs!$C135</f>
        <v>0</v>
      </c>
      <c r="C42" s="19">
        <f>[5]Inputs!$D135</f>
        <v>0</v>
      </c>
      <c r="D42" s="18">
        <f>[5]Inputs!$F135</f>
        <v>0</v>
      </c>
      <c r="E42" s="19"/>
      <c r="F42" s="18">
        <f t="shared" si="1"/>
        <v>0</v>
      </c>
      <c r="G42" s="19">
        <v>0</v>
      </c>
      <c r="H42" s="18">
        <v>0</v>
      </c>
      <c r="I42" s="19">
        <v>0</v>
      </c>
      <c r="J42" s="18">
        <f t="shared" si="2"/>
        <v>0</v>
      </c>
      <c r="K42" s="20"/>
      <c r="L42" s="20"/>
      <c r="N42" s="28">
        <f t="shared" si="3"/>
        <v>0</v>
      </c>
      <c r="O42" s="28">
        <f t="shared" si="4"/>
        <v>0</v>
      </c>
      <c r="P42" s="35">
        <f t="shared" si="5"/>
        <v>0</v>
      </c>
      <c r="Q42" s="29">
        <f t="shared" si="6"/>
        <v>0</v>
      </c>
      <c r="R42" s="29"/>
      <c r="S42" s="29">
        <f t="shared" si="7"/>
        <v>0</v>
      </c>
      <c r="T42" s="57">
        <f t="shared" si="8"/>
        <v>0</v>
      </c>
      <c r="U42" s="39">
        <f t="shared" si="9"/>
        <v>0</v>
      </c>
      <c r="V42" s="40">
        <f t="shared" si="10"/>
        <v>0</v>
      </c>
      <c r="W42" s="40">
        <f t="shared" si="11"/>
        <v>0</v>
      </c>
      <c r="X42" s="40">
        <f t="shared" si="12"/>
        <v>0</v>
      </c>
      <c r="Y42" s="40">
        <f t="shared" si="0"/>
        <v>0</v>
      </c>
      <c r="Z42" s="40">
        <f t="shared" si="13"/>
        <v>0</v>
      </c>
      <c r="AA42" s="41">
        <f t="shared" si="14"/>
        <v>0</v>
      </c>
      <c r="AB42" s="42">
        <v>8</v>
      </c>
      <c r="AC42" s="43">
        <f t="shared" si="15"/>
        <v>0</v>
      </c>
    </row>
    <row r="43" spans="1:29" x14ac:dyDescent="0.25">
      <c r="A43" s="12">
        <f t="shared" si="16"/>
        <v>2061</v>
      </c>
      <c r="B43" s="18">
        <f>[5]Inputs!$C136</f>
        <v>0</v>
      </c>
      <c r="C43" s="19">
        <f>[5]Inputs!$D136</f>
        <v>0</v>
      </c>
      <c r="D43" s="18">
        <f>[5]Inputs!$F136</f>
        <v>0</v>
      </c>
      <c r="E43" s="19"/>
      <c r="F43" s="18">
        <f t="shared" si="1"/>
        <v>0</v>
      </c>
      <c r="G43" s="19">
        <v>0</v>
      </c>
      <c r="H43" s="18">
        <v>751.83500000000004</v>
      </c>
      <c r="I43" s="19">
        <v>751.83500000000004</v>
      </c>
      <c r="J43" s="18">
        <f t="shared" si="2"/>
        <v>0</v>
      </c>
      <c r="K43" s="20"/>
      <c r="L43" s="20"/>
      <c r="N43" s="28">
        <f t="shared" si="3"/>
        <v>0</v>
      </c>
      <c r="O43" s="28">
        <f t="shared" si="4"/>
        <v>0</v>
      </c>
      <c r="P43" s="35">
        <f t="shared" si="5"/>
        <v>0</v>
      </c>
      <c r="Q43" s="29">
        <f t="shared" si="6"/>
        <v>2759587.8125398508</v>
      </c>
      <c r="R43" s="29"/>
      <c r="S43" s="29">
        <f t="shared" si="7"/>
        <v>0</v>
      </c>
      <c r="T43" s="57">
        <f t="shared" si="8"/>
        <v>2759587.8125398508</v>
      </c>
      <c r="U43" s="39">
        <f t="shared" si="9"/>
        <v>0</v>
      </c>
      <c r="V43" s="40">
        <f t="shared" si="10"/>
        <v>0</v>
      </c>
      <c r="W43" s="40">
        <f t="shared" si="11"/>
        <v>0</v>
      </c>
      <c r="X43" s="40">
        <f t="shared" si="12"/>
        <v>0.26386418562962849</v>
      </c>
      <c r="Y43" s="40">
        <f t="shared" si="0"/>
        <v>0</v>
      </c>
      <c r="Z43" s="40">
        <f t="shared" si="13"/>
        <v>0</v>
      </c>
      <c r="AA43" s="41">
        <f t="shared" si="14"/>
        <v>0.26386418562962849</v>
      </c>
      <c r="AB43" s="42">
        <v>8</v>
      </c>
      <c r="AC43" s="43">
        <f t="shared" si="15"/>
        <v>6.9624308457987047E-2</v>
      </c>
    </row>
    <row r="44" spans="1:29" x14ac:dyDescent="0.25">
      <c r="A44" s="12">
        <f t="shared" si="16"/>
        <v>2062</v>
      </c>
      <c r="B44" s="18">
        <f>[5]Inputs!$C137</f>
        <v>0</v>
      </c>
      <c r="C44" s="19">
        <f>[5]Inputs!$D137</f>
        <v>0</v>
      </c>
      <c r="D44" s="18">
        <f>[5]Inputs!$F137</f>
        <v>20472312.936275199</v>
      </c>
      <c r="E44" s="19"/>
      <c r="F44" s="18">
        <f t="shared" si="1"/>
        <v>0</v>
      </c>
      <c r="G44" s="19">
        <v>20472312.936275199</v>
      </c>
      <c r="H44" s="18"/>
      <c r="I44" s="19"/>
      <c r="J44" s="18">
        <f t="shared" si="2"/>
        <v>0</v>
      </c>
      <c r="K44" s="20"/>
      <c r="L44" s="20"/>
      <c r="N44" s="28">
        <f t="shared" si="3"/>
        <v>0</v>
      </c>
      <c r="O44" s="28">
        <f t="shared" si="4"/>
        <v>20472312.936275199</v>
      </c>
      <c r="P44" s="35">
        <f t="shared" si="5"/>
        <v>0</v>
      </c>
      <c r="Q44" s="29">
        <f t="shared" si="6"/>
        <v>0</v>
      </c>
      <c r="R44" s="29"/>
      <c r="S44" s="29">
        <f t="shared" si="7"/>
        <v>0</v>
      </c>
      <c r="T44" s="57">
        <f t="shared" si="8"/>
        <v>20472312.936275199</v>
      </c>
      <c r="U44" s="39">
        <f t="shared" si="9"/>
        <v>0</v>
      </c>
      <c r="V44" s="40">
        <f t="shared" si="10"/>
        <v>1.9575061740519106</v>
      </c>
      <c r="W44" s="40">
        <f t="shared" si="11"/>
        <v>0</v>
      </c>
      <c r="X44" s="40">
        <f t="shared" si="12"/>
        <v>0</v>
      </c>
      <c r="Y44" s="40">
        <f t="shared" si="0"/>
        <v>0</v>
      </c>
      <c r="Z44" s="40">
        <f t="shared" si="13"/>
        <v>0</v>
      </c>
      <c r="AA44" s="41">
        <f t="shared" si="14"/>
        <v>1.9575061740519106</v>
      </c>
      <c r="AB44" s="42">
        <v>8</v>
      </c>
      <c r="AC44" s="43">
        <f t="shared" si="15"/>
        <v>3.831830421451349</v>
      </c>
    </row>
    <row r="45" spans="1:29" x14ac:dyDescent="0.25">
      <c r="A45" s="12"/>
      <c r="B45" s="18"/>
      <c r="C45" s="19"/>
      <c r="D45" s="18"/>
      <c r="E45" s="19"/>
      <c r="F45" s="18"/>
      <c r="G45" s="19"/>
      <c r="H45" s="18"/>
      <c r="I45" s="19"/>
      <c r="J45" s="18"/>
      <c r="K45" s="20"/>
      <c r="L45" s="20"/>
      <c r="N45" s="28">
        <f t="shared" ref="N45:N47" si="17">C45</f>
        <v>0</v>
      </c>
      <c r="O45" s="28">
        <f t="shared" ref="O45:O47" si="18">D45</f>
        <v>0</v>
      </c>
      <c r="P45" s="35">
        <f t="shared" ref="P45:P47" si="19">F45</f>
        <v>0</v>
      </c>
      <c r="Q45" s="29">
        <f t="shared" ref="Q45:Q47" si="20">H45*$F$3</f>
        <v>0</v>
      </c>
      <c r="R45" s="29"/>
      <c r="S45" s="29">
        <f t="shared" ref="S45:S47" si="21">J45*$F$3</f>
        <v>0</v>
      </c>
      <c r="T45" s="57"/>
      <c r="U45" s="39">
        <f t="shared" ref="U45:U47" si="22">(N45/$S$3)*100</f>
        <v>0</v>
      </c>
      <c r="V45" s="40">
        <f t="shared" ref="V45:V47" si="23">(O45/$S$3)*100</f>
        <v>0</v>
      </c>
      <c r="W45" s="40">
        <f t="shared" ref="W45:W47" si="24">(P45/$S$3)*100</f>
        <v>0</v>
      </c>
      <c r="X45" s="40">
        <f t="shared" ref="X45:X47" si="25">(Q45/$S$3)*100</f>
        <v>0</v>
      </c>
      <c r="Y45" s="40">
        <f t="shared" si="0"/>
        <v>0</v>
      </c>
      <c r="Z45" s="40">
        <f t="shared" ref="Z45:Z47" si="26">(S45/$S$3)*100</f>
        <v>0</v>
      </c>
      <c r="AA45" s="41">
        <f t="shared" ref="AA45:AA47" si="27">SUM(U45:Z45)</f>
        <v>0</v>
      </c>
      <c r="AB45" s="42">
        <v>8</v>
      </c>
      <c r="AC45" s="43">
        <f t="shared" ref="AC45:AC47" si="28">AA45^2</f>
        <v>0</v>
      </c>
    </row>
    <row r="46" spans="1:29" x14ac:dyDescent="0.25">
      <c r="A46" s="12"/>
      <c r="B46" s="18"/>
      <c r="C46" s="19"/>
      <c r="D46" s="18"/>
      <c r="E46" s="19"/>
      <c r="F46" s="18"/>
      <c r="G46" s="19"/>
      <c r="H46" s="18"/>
      <c r="I46" s="19"/>
      <c r="J46" s="18"/>
      <c r="K46" s="20"/>
      <c r="L46" s="20"/>
      <c r="N46" s="28">
        <f t="shared" si="17"/>
        <v>0</v>
      </c>
      <c r="O46" s="28">
        <f t="shared" si="18"/>
        <v>0</v>
      </c>
      <c r="P46" s="35">
        <f t="shared" si="19"/>
        <v>0</v>
      </c>
      <c r="Q46" s="29">
        <f t="shared" si="20"/>
        <v>0</v>
      </c>
      <c r="R46" s="29"/>
      <c r="S46" s="29">
        <f t="shared" si="21"/>
        <v>0</v>
      </c>
      <c r="T46" s="57"/>
      <c r="U46" s="39">
        <f t="shared" si="22"/>
        <v>0</v>
      </c>
      <c r="V46" s="40">
        <f t="shared" si="23"/>
        <v>0</v>
      </c>
      <c r="W46" s="40">
        <f t="shared" si="24"/>
        <v>0</v>
      </c>
      <c r="X46" s="40">
        <f t="shared" si="25"/>
        <v>0</v>
      </c>
      <c r="Y46" s="40">
        <f t="shared" si="0"/>
        <v>0</v>
      </c>
      <c r="Z46" s="40">
        <f t="shared" si="26"/>
        <v>0</v>
      </c>
      <c r="AA46" s="41">
        <f t="shared" si="27"/>
        <v>0</v>
      </c>
      <c r="AB46" s="42">
        <v>8</v>
      </c>
      <c r="AC46" s="43">
        <f t="shared" si="28"/>
        <v>0</v>
      </c>
    </row>
    <row r="47" spans="1:29" x14ac:dyDescent="0.25">
      <c r="A47" s="12"/>
      <c r="B47" s="18"/>
      <c r="C47" s="19"/>
      <c r="D47" s="18"/>
      <c r="E47" s="19"/>
      <c r="F47" s="18"/>
      <c r="G47" s="19"/>
      <c r="H47" s="18"/>
      <c r="I47" s="19"/>
      <c r="J47" s="18"/>
      <c r="K47" s="20"/>
      <c r="L47" s="20"/>
      <c r="N47" s="28">
        <f t="shared" si="17"/>
        <v>0</v>
      </c>
      <c r="O47" s="28">
        <f t="shared" si="18"/>
        <v>0</v>
      </c>
      <c r="P47" s="35">
        <f t="shared" si="19"/>
        <v>0</v>
      </c>
      <c r="Q47" s="29">
        <f t="shared" si="20"/>
        <v>0</v>
      </c>
      <c r="R47" s="29"/>
      <c r="S47" s="29">
        <f t="shared" si="21"/>
        <v>0</v>
      </c>
      <c r="T47" s="57"/>
      <c r="U47" s="39">
        <f t="shared" si="22"/>
        <v>0</v>
      </c>
      <c r="V47" s="40">
        <f t="shared" si="23"/>
        <v>0</v>
      </c>
      <c r="W47" s="40">
        <f t="shared" si="24"/>
        <v>0</v>
      </c>
      <c r="X47" s="40">
        <f t="shared" si="25"/>
        <v>0</v>
      </c>
      <c r="Y47" s="40">
        <f t="shared" si="0"/>
        <v>0</v>
      </c>
      <c r="Z47" s="40">
        <f t="shared" si="26"/>
        <v>0</v>
      </c>
      <c r="AA47" s="41">
        <f t="shared" si="27"/>
        <v>0</v>
      </c>
      <c r="AB47" s="42">
        <v>8</v>
      </c>
      <c r="AC47" s="43">
        <f t="shared" si="28"/>
        <v>0</v>
      </c>
    </row>
    <row r="48" spans="1:29" x14ac:dyDescent="0.25">
      <c r="A48" s="12"/>
      <c r="B48" s="18"/>
      <c r="C48" s="19"/>
      <c r="D48" s="18"/>
      <c r="E48" s="19"/>
      <c r="F48" s="18"/>
      <c r="G48" s="19"/>
      <c r="H48" s="18"/>
      <c r="I48" s="19"/>
      <c r="J48" s="18"/>
      <c r="K48" s="20"/>
      <c r="L48" s="20"/>
      <c r="N48" s="28"/>
      <c r="O48" s="28"/>
      <c r="P48" s="35"/>
      <c r="Q48" s="29"/>
      <c r="R48" s="29"/>
      <c r="S48" s="29"/>
      <c r="T48" s="57"/>
      <c r="U48" s="39"/>
      <c r="V48" s="40"/>
      <c r="W48" s="40"/>
      <c r="X48" s="40"/>
      <c r="Y48" s="40"/>
      <c r="Z48" s="40"/>
      <c r="AA48" s="41"/>
      <c r="AB48" s="42"/>
      <c r="AC48" s="43"/>
    </row>
    <row r="49" spans="1:29" x14ac:dyDescent="0.25">
      <c r="A49" s="12"/>
      <c r="B49" s="18"/>
      <c r="C49" s="19"/>
      <c r="D49" s="18"/>
      <c r="E49" s="19"/>
      <c r="F49" s="18"/>
      <c r="G49" s="19"/>
      <c r="H49" s="18"/>
      <c r="I49" s="19"/>
      <c r="J49" s="18"/>
      <c r="K49" s="20"/>
      <c r="L49" s="20"/>
      <c r="N49" s="28"/>
      <c r="O49" s="28"/>
      <c r="P49" s="35"/>
      <c r="Q49" s="29"/>
      <c r="R49" s="29"/>
      <c r="S49" s="29"/>
      <c r="T49" s="1"/>
      <c r="U49" s="39"/>
      <c r="V49" s="40"/>
      <c r="W49" s="40"/>
      <c r="X49" s="40"/>
      <c r="Y49" s="40"/>
      <c r="Z49" s="40"/>
      <c r="AA49" s="41"/>
      <c r="AB49" s="42"/>
      <c r="AC49" s="43"/>
    </row>
    <row r="50" spans="1:29" x14ac:dyDescent="0.25">
      <c r="A50" s="13"/>
      <c r="B50" s="21"/>
      <c r="C50" s="22"/>
      <c r="D50" s="21"/>
      <c r="E50" s="22"/>
      <c r="F50" s="21"/>
      <c r="G50" s="22"/>
      <c r="H50" s="21"/>
      <c r="I50" s="22"/>
      <c r="J50" s="21"/>
      <c r="K50" s="23"/>
      <c r="L50" s="23"/>
      <c r="N50" s="30"/>
      <c r="O50" s="30"/>
      <c r="P50" s="36"/>
      <c r="Q50" s="31"/>
      <c r="R50" s="31"/>
      <c r="S50" s="31"/>
      <c r="T50" s="1"/>
      <c r="U50" s="44"/>
      <c r="V50" s="45"/>
      <c r="W50" s="45"/>
      <c r="X50" s="45"/>
      <c r="Y50" s="45"/>
      <c r="Z50" s="45"/>
      <c r="AA50" s="46"/>
      <c r="AB50" s="47"/>
      <c r="AC50" s="48"/>
    </row>
    <row r="51" spans="1:29" x14ac:dyDescent="0.25">
      <c r="N51" s="54"/>
      <c r="T51" s="1"/>
    </row>
    <row r="52" spans="1:29" x14ac:dyDescent="0.25">
      <c r="E52" s="55"/>
      <c r="G52" s="56"/>
      <c r="AC52" s="4">
        <v>523.01394273698793</v>
      </c>
    </row>
    <row r="53" spans="1:29" x14ac:dyDescent="0.25">
      <c r="F53" s="55"/>
    </row>
    <row r="54" spans="1:29" x14ac:dyDescent="0.25">
      <c r="F54" s="56"/>
    </row>
    <row r="55" spans="1:29" x14ac:dyDescent="0.25">
      <c r="F55" s="56"/>
    </row>
    <row r="56" spans="1:29" x14ac:dyDescent="0.25">
      <c r="F56" s="56"/>
    </row>
  </sheetData>
  <mergeCells count="2">
    <mergeCell ref="N1:S2"/>
    <mergeCell ref="A1:L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Ubicación_Archivo">
                <anchor moveWithCells="1" sizeWithCells="1">
                  <from>
                    <xdr:col>8</xdr:col>
                    <xdr:colOff>95250</xdr:colOff>
                    <xdr:row>0</xdr:row>
                    <xdr:rowOff>114300</xdr:rowOff>
                  </from>
                  <to>
                    <xdr:col>8</xdr:col>
                    <xdr:colOff>1609725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Ubicación_Archivo">
                <anchor moveWithCells="1" sizeWithCells="1">
                  <from>
                    <xdr:col>8</xdr:col>
                    <xdr:colOff>95250</xdr:colOff>
                    <xdr:row>0</xdr:row>
                    <xdr:rowOff>114300</xdr:rowOff>
                  </from>
                  <to>
                    <xdr:col>8</xdr:col>
                    <xdr:colOff>1609725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18D22-2877-410D-8FC6-427B00C37FB4}">
  <sheetPr codeName="Hoja11"/>
  <dimension ref="A1:AR56"/>
  <sheetViews>
    <sheetView topLeftCell="AC3" zoomScale="85" zoomScaleNormal="85" workbookViewId="0">
      <selection activeCell="AV50" sqref="AV50"/>
    </sheetView>
  </sheetViews>
  <sheetFormatPr baseColWidth="10" defaultColWidth="11.42578125" defaultRowHeight="15" x14ac:dyDescent="0.25"/>
  <cols>
    <col min="1" max="1" width="10.7109375" style="2" customWidth="1"/>
    <col min="2" max="2" width="17.7109375" style="1" bestFit="1" customWidth="1"/>
    <col min="3" max="4" width="17.42578125" style="1" bestFit="1" customWidth="1"/>
    <col min="5" max="5" width="18.5703125" style="1" bestFit="1" customWidth="1"/>
    <col min="6" max="6" width="18.140625" style="1" bestFit="1" customWidth="1"/>
    <col min="7" max="7" width="17.85546875" style="1" bestFit="1" customWidth="1"/>
    <col min="8" max="8" width="23.7109375" style="1" bestFit="1" customWidth="1"/>
    <col min="9" max="9" width="16.42578125" style="1" bestFit="1" customWidth="1"/>
    <col min="10" max="10" width="29" style="1" bestFit="1" customWidth="1"/>
    <col min="11" max="11" width="29" style="1" customWidth="1"/>
    <col min="12" max="12" width="17.42578125" style="1" bestFit="1" customWidth="1"/>
    <col min="13" max="13" width="6.7109375" style="1" customWidth="1"/>
    <col min="14" max="14" width="14.140625" style="2" bestFit="1" customWidth="1"/>
    <col min="15" max="15" width="13.5703125" style="2" bestFit="1" customWidth="1"/>
    <col min="16" max="16" width="16.7109375" style="2" bestFit="1" customWidth="1"/>
    <col min="17" max="17" width="19" style="2" bestFit="1" customWidth="1"/>
    <col min="18" max="18" width="19" style="2" customWidth="1"/>
    <col min="19" max="19" width="29" style="2" bestFit="1" customWidth="1"/>
    <col min="20" max="20" width="18.85546875" style="3" bestFit="1" customWidth="1"/>
    <col min="21" max="21" width="30.28515625" style="2" bestFit="1" customWidth="1"/>
    <col min="22" max="22" width="15.140625" style="2" bestFit="1" customWidth="1"/>
    <col min="23" max="23" width="22.5703125" style="2" bestFit="1" customWidth="1"/>
    <col min="24" max="24" width="25.140625" style="2" bestFit="1" customWidth="1"/>
    <col min="25" max="25" width="8.28515625" style="2" bestFit="1" customWidth="1"/>
    <col min="26" max="26" width="24.5703125" style="2" bestFit="1" customWidth="1"/>
    <col min="27" max="27" width="9.5703125" style="2" bestFit="1" customWidth="1"/>
    <col min="28" max="28" width="29.7109375" style="2" bestFit="1" customWidth="1"/>
    <col min="29" max="29" width="9" style="1" bestFit="1" customWidth="1"/>
    <col min="30" max="16384" width="11.42578125" style="1"/>
  </cols>
  <sheetData>
    <row r="1" spans="1:44" ht="24.75" customHeight="1" x14ac:dyDescent="0.25">
      <c r="A1" s="63" t="s">
        <v>17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N1" s="64" t="s">
        <v>18</v>
      </c>
      <c r="O1" s="64"/>
      <c r="P1" s="64"/>
      <c r="Q1" s="64"/>
      <c r="R1" s="64"/>
      <c r="S1" s="64"/>
      <c r="T1" s="59"/>
      <c r="U1" s="60"/>
      <c r="AR1" s="1" t="s">
        <v>21</v>
      </c>
    </row>
    <row r="2" spans="1:44" ht="21" customHeight="1" x14ac:dyDescent="0.25">
      <c r="A2" s="63"/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N2" s="64"/>
      <c r="O2" s="64"/>
      <c r="P2" s="64"/>
      <c r="Q2" s="64"/>
      <c r="R2" s="64"/>
      <c r="S2" s="64"/>
      <c r="T2" s="59" t="s">
        <v>23</v>
      </c>
      <c r="U2" s="60" t="s">
        <v>24</v>
      </c>
    </row>
    <row r="3" spans="1:44" ht="18" customHeight="1" thickBot="1" x14ac:dyDescent="0.35">
      <c r="A3" s="7" t="s">
        <v>12</v>
      </c>
      <c r="B3" s="8">
        <v>46081</v>
      </c>
      <c r="C3" s="5"/>
      <c r="D3" s="5"/>
      <c r="E3" s="7" t="s">
        <v>13</v>
      </c>
      <c r="F3" s="38">
        <f>'[7]Resumen-Total'!$E$11</f>
        <v>3766.2999999983499</v>
      </c>
      <c r="G3" s="58"/>
      <c r="H3" s="5"/>
      <c r="I3" s="1" t="s">
        <v>25</v>
      </c>
      <c r="J3" s="62">
        <f>'[7]Resumen Interna'!$C$25</f>
        <v>27886601.547942601</v>
      </c>
      <c r="K3" s="61"/>
      <c r="N3" s="1"/>
      <c r="O3" s="1"/>
      <c r="P3" s="1"/>
      <c r="Q3" s="6" t="s">
        <v>5</v>
      </c>
      <c r="R3" s="6"/>
      <c r="S3" s="37">
        <f>SUM(N8:S45)</f>
        <v>1076418295.5015516</v>
      </c>
      <c r="T3" s="37">
        <f>+B8+B9+L8+J3+J5</f>
        <v>161847274.14600393</v>
      </c>
      <c r="U3" s="37">
        <f>T3+S3</f>
        <v>1238265569.6475556</v>
      </c>
    </row>
    <row r="4" spans="1:44" ht="1.5" customHeight="1" thickTop="1" x14ac:dyDescent="0.25">
      <c r="B4" s="1" t="s">
        <v>21</v>
      </c>
      <c r="J4" s="62"/>
      <c r="K4" s="1" t="s">
        <v>26</v>
      </c>
      <c r="N4" s="1"/>
      <c r="O4" s="1"/>
      <c r="P4" s="1"/>
    </row>
    <row r="5" spans="1:44" ht="15" customHeight="1" x14ac:dyDescent="0.25">
      <c r="E5" s="55"/>
      <c r="I5" s="1" t="s">
        <v>26</v>
      </c>
      <c r="J5" s="62">
        <f>'[7]Resumen Interna'!$C$26</f>
        <v>10239100.578061301</v>
      </c>
      <c r="S5" s="54"/>
    </row>
    <row r="6" spans="1:44" s="17" customFormat="1" ht="37.5" x14ac:dyDescent="0.25">
      <c r="A6" s="24" t="s">
        <v>15</v>
      </c>
      <c r="B6" s="25" t="s">
        <v>6</v>
      </c>
      <c r="C6" s="26" t="s">
        <v>0</v>
      </c>
      <c r="D6" s="25" t="s">
        <v>1</v>
      </c>
      <c r="E6" s="26" t="s">
        <v>9</v>
      </c>
      <c r="F6" s="25" t="s">
        <v>10</v>
      </c>
      <c r="G6" s="26" t="s">
        <v>11</v>
      </c>
      <c r="H6" s="25" t="s">
        <v>2</v>
      </c>
      <c r="I6" s="26" t="s">
        <v>7</v>
      </c>
      <c r="J6" s="25" t="s">
        <v>3</v>
      </c>
      <c r="K6" s="27" t="s">
        <v>22</v>
      </c>
      <c r="L6" s="27" t="s">
        <v>16</v>
      </c>
      <c r="M6" s="15"/>
      <c r="N6" s="32" t="s">
        <v>0</v>
      </c>
      <c r="O6" s="32" t="s">
        <v>1</v>
      </c>
      <c r="P6" s="34" t="s">
        <v>10</v>
      </c>
      <c r="Q6" s="33" t="s">
        <v>2</v>
      </c>
      <c r="R6" s="33" t="s">
        <v>22</v>
      </c>
      <c r="S6" s="33" t="s">
        <v>3</v>
      </c>
      <c r="T6" s="16"/>
      <c r="U6" s="49" t="s">
        <v>0</v>
      </c>
      <c r="V6" s="50" t="s">
        <v>1</v>
      </c>
      <c r="W6" s="51" t="s">
        <v>14</v>
      </c>
      <c r="X6" s="50" t="s">
        <v>2</v>
      </c>
      <c r="Y6" s="50" t="s">
        <v>22</v>
      </c>
      <c r="Z6" s="50" t="s">
        <v>20</v>
      </c>
      <c r="AA6" s="50" t="s">
        <v>8</v>
      </c>
      <c r="AB6" s="53" t="s">
        <v>19</v>
      </c>
      <c r="AC6" s="52" t="s">
        <v>4</v>
      </c>
    </row>
    <row r="7" spans="1:44" ht="18.75" customHeight="1" x14ac:dyDescent="0.25">
      <c r="A7" s="11"/>
      <c r="B7" s="14"/>
      <c r="C7" s="9"/>
      <c r="D7" s="14"/>
      <c r="E7" s="9"/>
      <c r="F7" s="14"/>
      <c r="G7" s="9"/>
      <c r="H7" s="14"/>
      <c r="I7" s="9"/>
      <c r="J7" s="14"/>
      <c r="K7" s="10"/>
      <c r="L7" s="10"/>
      <c r="N7" s="28"/>
      <c r="O7" s="28"/>
      <c r="P7" s="35"/>
      <c r="Q7" s="29"/>
      <c r="R7" s="29"/>
      <c r="S7" s="29"/>
      <c r="T7" s="1"/>
      <c r="U7" s="39"/>
      <c r="V7" s="40"/>
      <c r="W7" s="40"/>
      <c r="X7" s="40"/>
      <c r="Y7" s="40"/>
      <c r="Z7" s="40"/>
      <c r="AA7" s="41"/>
      <c r="AB7" s="42"/>
      <c r="AC7" s="43"/>
    </row>
    <row r="8" spans="1:44" x14ac:dyDescent="0.25">
      <c r="A8" s="12">
        <v>2026</v>
      </c>
      <c r="B8" s="18">
        <f>[8]Inputs!$C101</f>
        <v>54392976.000000007</v>
      </c>
      <c r="C8" s="19">
        <f>[8]Inputs!$D101</f>
        <v>8813566.0999999996</v>
      </c>
      <c r="D8" s="18">
        <f>[8]Inputs!$F101</f>
        <v>0</v>
      </c>
      <c r="E8" s="19">
        <f>'[7]Resumen Interna'!$C$24</f>
        <v>9741703.4000000004</v>
      </c>
      <c r="F8" s="18">
        <f>G8-B8-C8-D8-E8-L8-J3-J5</f>
        <v>40868.13601802662</v>
      </c>
      <c r="G8" s="19">
        <f>'[7]Resumen-Total'!$C46</f>
        <v>175943411.98202193</v>
      </c>
      <c r="H8" s="18">
        <f>'[7]Resumen Externa'!$I15</f>
        <v>424.30985280247819</v>
      </c>
      <c r="I8" s="19">
        <f>'[7]Resumen-Total'!$J46</f>
        <v>11464.151715638376</v>
      </c>
      <c r="J8" s="18">
        <f>I8-H8-K8</f>
        <v>1294.3654470650745</v>
      </c>
      <c r="K8" s="20">
        <f>'[7]Resumen-Total'!$K$31</f>
        <v>9745.4764157708232</v>
      </c>
      <c r="L8" s="20">
        <f>'[7]Resumen Interna'!$C$23</f>
        <v>64828596.219999999</v>
      </c>
      <c r="N8" s="28">
        <f>C8</f>
        <v>8813566.0999999996</v>
      </c>
      <c r="O8" s="28">
        <f>D8</f>
        <v>0</v>
      </c>
      <c r="P8" s="35">
        <f>F8</f>
        <v>40868.13601802662</v>
      </c>
      <c r="Q8" s="29">
        <f>H8*$F$3</f>
        <v>1598078.1986092734</v>
      </c>
      <c r="R8" s="29">
        <f>K8*F3</f>
        <v>36704387.82470157</v>
      </c>
      <c r="S8" s="29">
        <f>J8*$F$3</f>
        <v>4874968.5832790546</v>
      </c>
      <c r="T8" s="57">
        <f>SUM(N8:S8)</f>
        <v>52031868.84260793</v>
      </c>
      <c r="U8" s="39">
        <f>(N8/$S$3)*100</f>
        <v>0.81878635255761456</v>
      </c>
      <c r="V8" s="40">
        <f>(O8/$S$3)*100</f>
        <v>0</v>
      </c>
      <c r="W8" s="40">
        <f>(P8/$S$3)*100</f>
        <v>3.7966779447003289E-3</v>
      </c>
      <c r="X8" s="40">
        <f>(Q8/$S$3)*100</f>
        <v>0.1484625637902835</v>
      </c>
      <c r="Y8" s="40">
        <f t="shared" ref="Y8:Z47" si="0">(R8/$S$3)*100</f>
        <v>3.4098628737631547</v>
      </c>
      <c r="Z8" s="40">
        <f>(S8/$S$3)*100</f>
        <v>0.45288793433296187</v>
      </c>
      <c r="AA8" s="41">
        <f>SUM(U8:Z8)</f>
        <v>4.8337964023887148</v>
      </c>
      <c r="AB8" s="42">
        <v>8</v>
      </c>
      <c r="AC8" s="43">
        <f>AA8^2</f>
        <v>23.365587659746083</v>
      </c>
    </row>
    <row r="9" spans="1:44" x14ac:dyDescent="0.25">
      <c r="A9" s="12">
        <f>+A8+1</f>
        <v>2027</v>
      </c>
      <c r="B9" s="18">
        <f>[8]Inputs!$C102</f>
        <v>4499999.8</v>
      </c>
      <c r="C9" s="19">
        <f>[8]Inputs!$D102</f>
        <v>20348857</v>
      </c>
      <c r="D9" s="18">
        <f>[8]Inputs!$F102</f>
        <v>19878054.31374</v>
      </c>
      <c r="E9" s="19">
        <v>0</v>
      </c>
      <c r="F9" s="18">
        <f t="shared" ref="F9:F44" si="1">G9-B9-C9-D9-E9-L9-M9</f>
        <v>0</v>
      </c>
      <c r="G9" s="19">
        <f>'[7]Resumen-Total'!$C47</f>
        <v>44726911.113739997</v>
      </c>
      <c r="H9" s="18">
        <f>'[7]Resumen Externa'!$I16</f>
        <v>1900.6702351910742</v>
      </c>
      <c r="I9" s="19">
        <f>'[7]Resumen-Total'!$J47</f>
        <v>4462.1835413072677</v>
      </c>
      <c r="J9" s="18">
        <f t="shared" ref="J9:J44" si="2">I9-H9-K9</f>
        <v>2561.5133061161932</v>
      </c>
      <c r="K9" s="20"/>
      <c r="L9" s="20"/>
      <c r="N9" s="28">
        <f t="shared" ref="N9:O44" si="3">C9</f>
        <v>20348857</v>
      </c>
      <c r="O9" s="28">
        <f t="shared" si="3"/>
        <v>19878054.31374</v>
      </c>
      <c r="P9" s="35">
        <f t="shared" ref="P9:P47" si="4">F9</f>
        <v>0</v>
      </c>
      <c r="Q9" s="29">
        <f t="shared" ref="Q9:Q47" si="5">H9*$F$3</f>
        <v>7158494.3067970062</v>
      </c>
      <c r="R9" s="29">
        <f>K9</f>
        <v>0</v>
      </c>
      <c r="S9" s="29">
        <f t="shared" ref="S9:S47" si="6">J9*$F$3</f>
        <v>9647427.5648211911</v>
      </c>
      <c r="T9" s="57">
        <f t="shared" ref="T9:T44" si="7">SUM(N9:S9)</f>
        <v>57032833.185358196</v>
      </c>
      <c r="U9" s="39">
        <f t="shared" ref="U9:X44" si="8">(N9/$S$3)*100</f>
        <v>1.8904228110056931</v>
      </c>
      <c r="V9" s="40">
        <f t="shared" si="8"/>
        <v>1.8466849176395614</v>
      </c>
      <c r="W9" s="40">
        <f t="shared" si="8"/>
        <v>0</v>
      </c>
      <c r="X9" s="40">
        <f t="shared" si="8"/>
        <v>0.66502904463004708</v>
      </c>
      <c r="Y9" s="40">
        <f t="shared" si="0"/>
        <v>0</v>
      </c>
      <c r="Z9" s="40">
        <f t="shared" si="0"/>
        <v>0.89625265615965977</v>
      </c>
      <c r="AA9" s="41">
        <f t="shared" ref="AA9:AA47" si="9">SUM(U9:Z9)</f>
        <v>5.2983894294349607</v>
      </c>
      <c r="AB9" s="42">
        <v>8</v>
      </c>
      <c r="AC9" s="43">
        <f t="shared" ref="AC9:AC47" si="10">AA9^2</f>
        <v>28.072930545948129</v>
      </c>
    </row>
    <row r="10" spans="1:44" x14ac:dyDescent="0.25">
      <c r="A10" s="12">
        <f t="shared" ref="A10:A44" si="11">+A9+1</f>
        <v>2028</v>
      </c>
      <c r="B10" s="18">
        <f>[8]Inputs!$C103</f>
        <v>0</v>
      </c>
      <c r="C10" s="19">
        <f>[8]Inputs!$D103</f>
        <v>35983114.5</v>
      </c>
      <c r="D10" s="18">
        <f>[8]Inputs!$F103</f>
        <v>0</v>
      </c>
      <c r="E10" s="19"/>
      <c r="F10" s="18">
        <f t="shared" si="1"/>
        <v>0</v>
      </c>
      <c r="G10" s="19">
        <f>'[7]Resumen-Total'!$C48</f>
        <v>35983114.5</v>
      </c>
      <c r="H10" s="18">
        <f>'[7]Resumen Externa'!$I17</f>
        <v>1721.37000001</v>
      </c>
      <c r="I10" s="19">
        <f>'[7]Resumen-Total'!$J48</f>
        <v>5318.1747059019808</v>
      </c>
      <c r="J10" s="18">
        <f t="shared" si="2"/>
        <v>3596.804705891981</v>
      </c>
      <c r="K10" s="20"/>
      <c r="L10" s="20"/>
      <c r="N10" s="28">
        <f t="shared" si="3"/>
        <v>35983114.5</v>
      </c>
      <c r="O10" s="28">
        <f t="shared" si="3"/>
        <v>0</v>
      </c>
      <c r="P10" s="35">
        <f t="shared" si="4"/>
        <v>0</v>
      </c>
      <c r="Q10" s="29">
        <f t="shared" si="5"/>
        <v>6483195.8310348224</v>
      </c>
      <c r="R10" s="29"/>
      <c r="S10" s="29">
        <f t="shared" si="6"/>
        <v>13546645.563795034</v>
      </c>
      <c r="T10" s="57">
        <f t="shared" si="7"/>
        <v>56012955.894829854</v>
      </c>
      <c r="U10" s="39">
        <f>(N10/$S$3)*100</f>
        <v>3.3428560858150269</v>
      </c>
      <c r="V10" s="40">
        <f t="shared" si="8"/>
        <v>0</v>
      </c>
      <c r="W10" s="40">
        <f t="shared" si="8"/>
        <v>0</v>
      </c>
      <c r="X10" s="40">
        <f t="shared" si="8"/>
        <v>0.60229335176935195</v>
      </c>
      <c r="Y10" s="40">
        <f t="shared" si="0"/>
        <v>0</v>
      </c>
      <c r="Z10" s="40">
        <f t="shared" si="0"/>
        <v>1.2584926901008351</v>
      </c>
      <c r="AA10" s="41">
        <f t="shared" si="9"/>
        <v>5.2036421276852138</v>
      </c>
      <c r="AB10" s="42">
        <v>8</v>
      </c>
      <c r="AC10" s="43">
        <f t="shared" si="10"/>
        <v>27.077891393020298</v>
      </c>
    </row>
    <row r="11" spans="1:44" x14ac:dyDescent="0.25">
      <c r="A11" s="12">
        <f t="shared" si="11"/>
        <v>2029</v>
      </c>
      <c r="B11" s="18">
        <f>[8]Inputs!$C104</f>
        <v>0</v>
      </c>
      <c r="C11" s="19">
        <f>[8]Inputs!$D104</f>
        <v>43161457.600000001</v>
      </c>
      <c r="D11" s="18">
        <f>[8]Inputs!$F104</f>
        <v>14936536.649542801</v>
      </c>
      <c r="E11" s="19">
        <f>-E8</f>
        <v>-9741703.4000000004</v>
      </c>
      <c r="F11" s="18">
        <f t="shared" si="1"/>
        <v>9742371.0450219978</v>
      </c>
      <c r="G11" s="19">
        <f>'[7]Resumen-Total'!$C49</f>
        <v>58098661.8945648</v>
      </c>
      <c r="H11" s="18">
        <f>'[7]Resumen Externa'!$I18</f>
        <v>4000</v>
      </c>
      <c r="I11" s="19">
        <f>'[7]Resumen-Total'!$J49</f>
        <v>6980.8841251403464</v>
      </c>
      <c r="J11" s="18">
        <f t="shared" si="2"/>
        <v>2980.8841251403464</v>
      </c>
      <c r="K11" s="20"/>
      <c r="L11" s="20"/>
      <c r="N11" s="28">
        <f t="shared" si="3"/>
        <v>43161457.600000001</v>
      </c>
      <c r="O11" s="28">
        <f t="shared" si="3"/>
        <v>14936536.649542801</v>
      </c>
      <c r="P11" s="35">
        <f t="shared" si="4"/>
        <v>9742371.0450219978</v>
      </c>
      <c r="Q11" s="29">
        <f t="shared" si="5"/>
        <v>15065199.999993399</v>
      </c>
      <c r="R11" s="29"/>
      <c r="S11" s="29">
        <f t="shared" si="6"/>
        <v>11226903.880511168</v>
      </c>
      <c r="T11" s="57">
        <f t="shared" si="7"/>
        <v>94132469.175069362</v>
      </c>
      <c r="U11" s="39">
        <f t="shared" si="8"/>
        <v>4.0097290969854003</v>
      </c>
      <c r="V11" s="40">
        <f t="shared" si="8"/>
        <v>1.3876145279176249</v>
      </c>
      <c r="W11" s="40">
        <f t="shared" si="8"/>
        <v>0.90507297077132909</v>
      </c>
      <c r="X11" s="40">
        <f t="shared" si="8"/>
        <v>1.3995674416676323</v>
      </c>
      <c r="Y11" s="40">
        <f t="shared" si="0"/>
        <v>0</v>
      </c>
      <c r="Z11" s="40">
        <f t="shared" si="0"/>
        <v>1.0429870922325832</v>
      </c>
      <c r="AA11" s="41">
        <f t="shared" si="9"/>
        <v>8.7449711295745693</v>
      </c>
      <c r="AB11" s="42">
        <v>8</v>
      </c>
      <c r="AC11" s="43">
        <f t="shared" si="10"/>
        <v>76.474520057092718</v>
      </c>
    </row>
    <row r="12" spans="1:44" x14ac:dyDescent="0.25">
      <c r="A12" s="12">
        <f t="shared" si="11"/>
        <v>2030</v>
      </c>
      <c r="B12" s="18">
        <f>[8]Inputs!$C105</f>
        <v>0</v>
      </c>
      <c r="C12" s="19">
        <f>[8]Inputs!$D105</f>
        <v>34294424.299999997</v>
      </c>
      <c r="D12" s="18">
        <f>[8]Inputs!$F105</f>
        <v>0</v>
      </c>
      <c r="E12" s="19"/>
      <c r="F12" s="18">
        <f t="shared" si="1"/>
        <v>1817070.8208655044</v>
      </c>
      <c r="G12" s="19">
        <f>'[7]Resumen-Total'!$C50</f>
        <v>36111495.120865501</v>
      </c>
      <c r="H12" s="18">
        <f>'[7]Resumen Externa'!$I19</f>
        <v>4033.3680000034483</v>
      </c>
      <c r="I12" s="19">
        <f>'[7]Resumen-Total'!$J50</f>
        <v>7002.357335631712</v>
      </c>
      <c r="J12" s="18">
        <f t="shared" si="2"/>
        <v>2968.9893356282637</v>
      </c>
      <c r="K12" s="20"/>
      <c r="L12" s="20"/>
      <c r="N12" s="28">
        <f t="shared" si="3"/>
        <v>34294424.299999997</v>
      </c>
      <c r="O12" s="28">
        <f t="shared" si="3"/>
        <v>0</v>
      </c>
      <c r="P12" s="35">
        <f t="shared" si="4"/>
        <v>1817070.8208655044</v>
      </c>
      <c r="Q12" s="29">
        <f t="shared" si="5"/>
        <v>15190873.898406332</v>
      </c>
      <c r="R12" s="29"/>
      <c r="S12" s="29">
        <f t="shared" si="6"/>
        <v>11182104.53477183</v>
      </c>
      <c r="T12" s="57">
        <f t="shared" si="7"/>
        <v>62484473.554043666</v>
      </c>
      <c r="U12" s="39">
        <f t="shared" si="8"/>
        <v>3.1859756047736707</v>
      </c>
      <c r="V12" s="40">
        <f t="shared" si="8"/>
        <v>0</v>
      </c>
      <c r="W12" s="40">
        <f>(P12/$S$3)*100</f>
        <v>0.16880712901844999</v>
      </c>
      <c r="X12" s="40">
        <f t="shared" si="8"/>
        <v>1.4112426332672301</v>
      </c>
      <c r="Y12" s="40">
        <f t="shared" si="0"/>
        <v>0</v>
      </c>
      <c r="Z12" s="40">
        <f t="shared" si="0"/>
        <v>1.038825202200933</v>
      </c>
      <c r="AA12" s="41">
        <f t="shared" si="9"/>
        <v>5.8048505692602834</v>
      </c>
      <c r="AB12" s="42">
        <v>8</v>
      </c>
      <c r="AC12" s="43">
        <f t="shared" si="10"/>
        <v>33.696290131441437</v>
      </c>
    </row>
    <row r="13" spans="1:44" x14ac:dyDescent="0.25">
      <c r="A13" s="12">
        <f t="shared" si="11"/>
        <v>2031</v>
      </c>
      <c r="B13" s="18">
        <f>[8]Inputs!$C106</f>
        <v>0</v>
      </c>
      <c r="C13" s="19">
        <f>[8]Inputs!$D106</f>
        <v>35209514.799999997</v>
      </c>
      <c r="D13" s="18">
        <f>[8]Inputs!$F106</f>
        <v>22097516.358351201</v>
      </c>
      <c r="E13" s="19"/>
      <c r="F13" s="18">
        <f t="shared" si="1"/>
        <v>0</v>
      </c>
      <c r="G13" s="19">
        <f>'[7]Resumen-Total'!$C51</f>
        <v>57307031.158351198</v>
      </c>
      <c r="H13" s="18">
        <f>'[7]Resumen Externa'!$I20</f>
        <v>4014.9520000000002</v>
      </c>
      <c r="I13" s="19">
        <f>'[7]Resumen-Total'!$J51</f>
        <v>7566.8164344398638</v>
      </c>
      <c r="J13" s="18">
        <f t="shared" si="2"/>
        <v>3551.8644344398635</v>
      </c>
      <c r="K13" s="20"/>
      <c r="L13" s="20"/>
      <c r="N13" s="28">
        <f t="shared" si="3"/>
        <v>35209514.799999997</v>
      </c>
      <c r="O13" s="28">
        <f t="shared" si="3"/>
        <v>22097516.358351201</v>
      </c>
      <c r="P13" s="35">
        <f>F13</f>
        <v>0</v>
      </c>
      <c r="Q13" s="29">
        <f t="shared" si="5"/>
        <v>15121513.717593376</v>
      </c>
      <c r="R13" s="29"/>
      <c r="S13" s="29">
        <f t="shared" si="6"/>
        <v>13377387.019424997</v>
      </c>
      <c r="T13" s="57">
        <f t="shared" si="7"/>
        <v>85805931.89536956</v>
      </c>
      <c r="U13" s="39">
        <f t="shared" si="8"/>
        <v>3.2709881416122069</v>
      </c>
      <c r="V13" s="40">
        <f t="shared" si="8"/>
        <v>2.052874468103961</v>
      </c>
      <c r="W13" s="40">
        <f t="shared" si="8"/>
        <v>0</v>
      </c>
      <c r="X13" s="40">
        <f t="shared" si="8"/>
        <v>1.4047990247645858</v>
      </c>
      <c r="Y13" s="40">
        <f t="shared" si="0"/>
        <v>0</v>
      </c>
      <c r="Z13" s="40">
        <f t="shared" si="0"/>
        <v>1.2427684549148128</v>
      </c>
      <c r="AA13" s="41">
        <f t="shared" si="9"/>
        <v>7.9714300893955663</v>
      </c>
      <c r="AB13" s="42">
        <v>8</v>
      </c>
      <c r="AC13" s="43">
        <f t="shared" si="10"/>
        <v>63.543697670121006</v>
      </c>
    </row>
    <row r="14" spans="1:44" x14ac:dyDescent="0.25">
      <c r="A14" s="12">
        <f t="shared" si="11"/>
        <v>2032</v>
      </c>
      <c r="B14" s="18">
        <f>[8]Inputs!$C107</f>
        <v>0</v>
      </c>
      <c r="C14" s="19">
        <f>[8]Inputs!$D107</f>
        <v>27621627</v>
      </c>
      <c r="D14" s="18">
        <f>[8]Inputs!$F107</f>
        <v>0</v>
      </c>
      <c r="E14" s="19"/>
      <c r="F14" s="18">
        <f t="shared" si="1"/>
        <v>0.41499999910593033</v>
      </c>
      <c r="G14" s="19">
        <f>'[7]Resumen-Total'!$C52</f>
        <v>27621627.414999999</v>
      </c>
      <c r="H14" s="18">
        <f>'[7]Resumen Externa'!$I21</f>
        <v>3712.1600000100002</v>
      </c>
      <c r="I14" s="19">
        <f>'[7]Resumen-Total'!$J52</f>
        <v>6052.9673505546671</v>
      </c>
      <c r="J14" s="18">
        <f t="shared" si="2"/>
        <v>2340.8073505446669</v>
      </c>
      <c r="K14" s="20"/>
      <c r="L14" s="20"/>
      <c r="N14" s="28">
        <f t="shared" si="3"/>
        <v>27621627</v>
      </c>
      <c r="O14" s="28">
        <f t="shared" si="3"/>
        <v>0</v>
      </c>
      <c r="P14" s="35">
        <f t="shared" si="4"/>
        <v>0.41499999910593033</v>
      </c>
      <c r="Q14" s="29">
        <f t="shared" si="5"/>
        <v>13981108.208031539</v>
      </c>
      <c r="R14" s="29"/>
      <c r="S14" s="29">
        <f t="shared" si="6"/>
        <v>8816182.7243525162</v>
      </c>
      <c r="T14" s="57">
        <f t="shared" si="7"/>
        <v>50418918.347384058</v>
      </c>
      <c r="U14" s="39">
        <f t="shared" si="8"/>
        <v>2.5660681461317827</v>
      </c>
      <c r="V14" s="40">
        <f t="shared" si="8"/>
        <v>0</v>
      </c>
      <c r="W14" s="40">
        <f t="shared" si="8"/>
        <v>3.8553785349083384E-8</v>
      </c>
      <c r="X14" s="40">
        <f>(Q14/$S$3)*100</f>
        <v>1.2988545685687283</v>
      </c>
      <c r="Y14" s="40">
        <f t="shared" si="0"/>
        <v>0</v>
      </c>
      <c r="Z14" s="40">
        <f t="shared" si="0"/>
        <v>0.81902943875964695</v>
      </c>
      <c r="AA14" s="41">
        <f t="shared" si="9"/>
        <v>4.6839521920139431</v>
      </c>
      <c r="AB14" s="42">
        <v>8</v>
      </c>
      <c r="AC14" s="43">
        <f t="shared" si="10"/>
        <v>21.939408137072224</v>
      </c>
    </row>
    <row r="15" spans="1:44" x14ac:dyDescent="0.25">
      <c r="A15" s="12">
        <f t="shared" si="11"/>
        <v>2033</v>
      </c>
      <c r="B15" s="18">
        <f>[8]Inputs!$C108</f>
        <v>0</v>
      </c>
      <c r="C15" s="19">
        <f>[8]Inputs!$D108</f>
        <v>54527381.899999999</v>
      </c>
      <c r="D15" s="18">
        <f>[8]Inputs!$F108</f>
        <v>14453605.4768568</v>
      </c>
      <c r="E15" s="19"/>
      <c r="F15" s="18">
        <f t="shared" si="1"/>
        <v>6.6550000067800283</v>
      </c>
      <c r="G15" s="19">
        <f>'[7]Resumen-Total'!$C53</f>
        <v>68980994.031856805</v>
      </c>
      <c r="H15" s="18">
        <f>'[7]Resumen Externa'!$I22</f>
        <v>3282.3760000000002</v>
      </c>
      <c r="I15" s="19">
        <f>'[7]Resumen-Total'!$J53</f>
        <v>5700.5094327879633</v>
      </c>
      <c r="J15" s="18">
        <f t="shared" si="2"/>
        <v>2418.1334327879631</v>
      </c>
      <c r="K15" s="20"/>
      <c r="L15" s="20"/>
      <c r="N15" s="28">
        <f t="shared" si="3"/>
        <v>54527381.899999999</v>
      </c>
      <c r="O15" s="28">
        <f t="shared" si="3"/>
        <v>14453605.4768568</v>
      </c>
      <c r="P15" s="35">
        <f t="shared" si="4"/>
        <v>6.6550000067800283</v>
      </c>
      <c r="Q15" s="29">
        <f t="shared" si="5"/>
        <v>12362412.728794584</v>
      </c>
      <c r="R15" s="29"/>
      <c r="S15" s="29">
        <f t="shared" si="6"/>
        <v>9107415.9479053151</v>
      </c>
      <c r="T15" s="57">
        <f t="shared" si="7"/>
        <v>90450822.708556712</v>
      </c>
      <c r="U15" s="39">
        <f t="shared" si="8"/>
        <v>5.0656312818051132</v>
      </c>
      <c r="V15" s="40">
        <f t="shared" si="8"/>
        <v>1.3427498898206869</v>
      </c>
      <c r="W15" s="40">
        <f t="shared" si="8"/>
        <v>6.1825407786098298E-7</v>
      </c>
      <c r="X15" s="40">
        <f t="shared" si="8"/>
        <v>1.148476645227809</v>
      </c>
      <c r="Y15" s="40">
        <f t="shared" si="0"/>
        <v>0</v>
      </c>
      <c r="Z15" s="40">
        <f t="shared" si="0"/>
        <v>0.84608520553450473</v>
      </c>
      <c r="AA15" s="41">
        <f t="shared" si="9"/>
        <v>8.4029436406421922</v>
      </c>
      <c r="AB15" s="42">
        <v>8</v>
      </c>
      <c r="AC15" s="43">
        <f t="shared" si="10"/>
        <v>70.609461827809056</v>
      </c>
    </row>
    <row r="16" spans="1:44" x14ac:dyDescent="0.25">
      <c r="A16" s="12">
        <f t="shared" si="11"/>
        <v>2034</v>
      </c>
      <c r="B16" s="18">
        <f>[8]Inputs!$C109</f>
        <v>0</v>
      </c>
      <c r="C16" s="19">
        <f>[8]Inputs!$D109</f>
        <v>15721623.300000001</v>
      </c>
      <c r="D16" s="18">
        <f>[8]Inputs!$F109</f>
        <v>0</v>
      </c>
      <c r="E16" s="19"/>
      <c r="F16" s="18">
        <f t="shared" si="1"/>
        <v>0</v>
      </c>
      <c r="G16" s="19">
        <f>'[7]Resumen-Total'!$C54</f>
        <v>15721623.300000001</v>
      </c>
      <c r="H16" s="18">
        <f>'[7]Resumen Externa'!$I23</f>
        <v>3026.5600000048275</v>
      </c>
      <c r="I16" s="19">
        <f>'[7]Resumen-Total'!$J54</f>
        <v>5201.1845502515689</v>
      </c>
      <c r="J16" s="18">
        <f t="shared" si="2"/>
        <v>2174.6245502467414</v>
      </c>
      <c r="K16" s="20"/>
      <c r="L16" s="20"/>
      <c r="N16" s="28">
        <f t="shared" si="3"/>
        <v>15721623.300000001</v>
      </c>
      <c r="O16" s="28">
        <f t="shared" si="3"/>
        <v>0</v>
      </c>
      <c r="P16" s="35">
        <f>F16</f>
        <v>0</v>
      </c>
      <c r="Q16" s="29">
        <f t="shared" si="5"/>
        <v>11398932.928013189</v>
      </c>
      <c r="R16" s="29"/>
      <c r="S16" s="29">
        <f t="shared" si="6"/>
        <v>8190288.4435907137</v>
      </c>
      <c r="T16" s="57">
        <f t="shared" si="7"/>
        <v>35310844.671603903</v>
      </c>
      <c r="U16" s="39">
        <f t="shared" si="8"/>
        <v>1.4605496177185089</v>
      </c>
      <c r="V16" s="40">
        <f t="shared" si="8"/>
        <v>0</v>
      </c>
      <c r="W16" s="40">
        <f t="shared" si="8"/>
        <v>0</v>
      </c>
      <c r="X16" s="40">
        <f t="shared" si="8"/>
        <v>1.0589687090650863</v>
      </c>
      <c r="Y16" s="40">
        <f t="shared" si="0"/>
        <v>0</v>
      </c>
      <c r="Z16" s="40">
        <f t="shared" si="0"/>
        <v>0.76088342959411437</v>
      </c>
      <c r="AA16" s="41">
        <f t="shared" si="9"/>
        <v>3.2804017563777097</v>
      </c>
      <c r="AB16" s="42">
        <v>8</v>
      </c>
      <c r="AC16" s="43">
        <f t="shared" si="10"/>
        <v>10.761035683245963</v>
      </c>
    </row>
    <row r="17" spans="1:29" x14ac:dyDescent="0.25">
      <c r="A17" s="12">
        <f t="shared" si="11"/>
        <v>2035</v>
      </c>
      <c r="B17" s="18">
        <f>[8]Inputs!$C110</f>
        <v>0</v>
      </c>
      <c r="C17" s="19">
        <f>[8]Inputs!$D110</f>
        <v>36376337.200000003</v>
      </c>
      <c r="D17" s="18">
        <f>[8]Inputs!$F110</f>
        <v>30649728.577368401</v>
      </c>
      <c r="E17" s="19"/>
      <c r="F17" s="18">
        <f t="shared" si="1"/>
        <v>0</v>
      </c>
      <c r="G17" s="19">
        <f>'[7]Resumen-Total'!$C55</f>
        <v>67026065.777368404</v>
      </c>
      <c r="H17" s="18">
        <f>'[7]Resumen Externa'!$I24</f>
        <v>2243.6489999999999</v>
      </c>
      <c r="I17" s="19">
        <f>'[7]Resumen-Total'!$J55</f>
        <v>4773.2547277689455</v>
      </c>
      <c r="J17" s="18">
        <f t="shared" si="2"/>
        <v>2529.6057277689456</v>
      </c>
      <c r="K17" s="20"/>
      <c r="L17" s="20"/>
      <c r="N17" s="28">
        <f t="shared" si="3"/>
        <v>36376337.200000003</v>
      </c>
      <c r="O17" s="28">
        <f t="shared" si="3"/>
        <v>30649728.577368401</v>
      </c>
      <c r="P17" s="35">
        <f t="shared" si="4"/>
        <v>0</v>
      </c>
      <c r="Q17" s="29">
        <f t="shared" si="5"/>
        <v>8450255.2286962979</v>
      </c>
      <c r="R17" s="29"/>
      <c r="S17" s="29">
        <f t="shared" si="6"/>
        <v>9527254.0524920058</v>
      </c>
      <c r="T17" s="57">
        <f t="shared" si="7"/>
        <v>85003575.058556706</v>
      </c>
      <c r="U17" s="39">
        <f t="shared" si="8"/>
        <v>3.3793867450989978</v>
      </c>
      <c r="V17" s="40">
        <f t="shared" si="8"/>
        <v>2.8473808653621329</v>
      </c>
      <c r="W17" s="40">
        <f t="shared" si="8"/>
        <v>0</v>
      </c>
      <c r="X17" s="40">
        <f t="shared" si="8"/>
        <v>0.78503452273253527</v>
      </c>
      <c r="Y17" s="40">
        <f t="shared" si="0"/>
        <v>0</v>
      </c>
      <c r="Z17" s="40">
        <f t="shared" si="0"/>
        <v>0.88508845421034299</v>
      </c>
      <c r="AA17" s="41">
        <f t="shared" si="9"/>
        <v>7.896890587404009</v>
      </c>
      <c r="AB17" s="42">
        <v>8</v>
      </c>
      <c r="AC17" s="43">
        <f t="shared" si="10"/>
        <v>62.360880949430033</v>
      </c>
    </row>
    <row r="18" spans="1:29" x14ac:dyDescent="0.25">
      <c r="A18" s="12">
        <f t="shared" si="11"/>
        <v>2036</v>
      </c>
      <c r="B18" s="18">
        <f>[8]Inputs!$C111</f>
        <v>0</v>
      </c>
      <c r="C18" s="19">
        <f>[8]Inputs!$D111</f>
        <v>19600254.699999999</v>
      </c>
      <c r="D18" s="18">
        <f>[8]Inputs!$F111</f>
        <v>0</v>
      </c>
      <c r="E18" s="19"/>
      <c r="F18" s="18">
        <f t="shared" si="1"/>
        <v>0</v>
      </c>
      <c r="G18" s="19">
        <f>'[7]Resumen-Total'!$C56</f>
        <v>19600254.699999999</v>
      </c>
      <c r="H18" s="18">
        <f>'[7]Resumen Externa'!$I25</f>
        <v>3416.960000008276</v>
      </c>
      <c r="I18" s="19">
        <f>'[7]Resumen-Total'!$J56</f>
        <v>7134.2787675597183</v>
      </c>
      <c r="J18" s="18">
        <f t="shared" si="2"/>
        <v>3717.3187675514423</v>
      </c>
      <c r="K18" s="20"/>
      <c r="L18" s="20"/>
      <c r="N18" s="28">
        <f t="shared" si="3"/>
        <v>19600254.699999999</v>
      </c>
      <c r="O18" s="28">
        <f t="shared" si="3"/>
        <v>0</v>
      </c>
      <c r="P18" s="35">
        <f t="shared" si="4"/>
        <v>0</v>
      </c>
      <c r="Q18" s="29">
        <f t="shared" si="5"/>
        <v>12869296.448025532</v>
      </c>
      <c r="R18" s="29"/>
      <c r="S18" s="29">
        <f t="shared" si="6"/>
        <v>14000537.674222862</v>
      </c>
      <c r="T18" s="57">
        <f t="shared" si="7"/>
        <v>46470088.822248392</v>
      </c>
      <c r="U18" s="39">
        <f t="shared" si="8"/>
        <v>1.8208771424557921</v>
      </c>
      <c r="V18" s="40">
        <f t="shared" si="8"/>
        <v>0</v>
      </c>
      <c r="W18" s="40">
        <f t="shared" si="8"/>
        <v>0</v>
      </c>
      <c r="X18" s="40">
        <f t="shared" si="8"/>
        <v>1.1955664913730539</v>
      </c>
      <c r="Y18" s="40">
        <f t="shared" si="0"/>
        <v>0</v>
      </c>
      <c r="Z18" s="40">
        <f t="shared" si="0"/>
        <v>1.3006595793412619</v>
      </c>
      <c r="AA18" s="41">
        <f t="shared" si="9"/>
        <v>4.3171032131701077</v>
      </c>
      <c r="AB18" s="42">
        <v>8</v>
      </c>
      <c r="AC18" s="43">
        <f t="shared" si="10"/>
        <v>18.637380153163669</v>
      </c>
    </row>
    <row r="19" spans="1:29" x14ac:dyDescent="0.25">
      <c r="A19" s="12">
        <f t="shared" si="11"/>
        <v>2037</v>
      </c>
      <c r="B19" s="18">
        <f>[8]Inputs!$C112</f>
        <v>0</v>
      </c>
      <c r="C19" s="19">
        <f>[8]Inputs!$D112</f>
        <v>0</v>
      </c>
      <c r="D19" s="18">
        <f>[8]Inputs!$F112</f>
        <v>44470497.790231198</v>
      </c>
      <c r="E19" s="19"/>
      <c r="F19" s="18">
        <f t="shared" si="1"/>
        <v>0</v>
      </c>
      <c r="G19" s="19">
        <f>'[7]Resumen-Total'!$C57</f>
        <v>44470497.790231198</v>
      </c>
      <c r="H19" s="18">
        <f>'[7]Resumen Externa'!$I26</f>
        <v>1818.4</v>
      </c>
      <c r="I19" s="19">
        <f>'[7]Resumen-Total'!$J57</f>
        <v>3104.6753953128473</v>
      </c>
      <c r="J19" s="18">
        <f t="shared" si="2"/>
        <v>1286.2753953128472</v>
      </c>
      <c r="K19" s="20"/>
      <c r="L19" s="20"/>
      <c r="N19" s="28">
        <f t="shared" si="3"/>
        <v>0</v>
      </c>
      <c r="O19" s="28">
        <f t="shared" si="3"/>
        <v>44470497.790231198</v>
      </c>
      <c r="P19" s="35">
        <f t="shared" si="4"/>
        <v>0</v>
      </c>
      <c r="Q19" s="29">
        <f t="shared" si="5"/>
        <v>6848639.9199970001</v>
      </c>
      <c r="R19" s="29"/>
      <c r="S19" s="29">
        <f t="shared" si="6"/>
        <v>4844499.0213646535</v>
      </c>
      <c r="T19" s="57">
        <f t="shared" si="7"/>
        <v>56163636.731592849</v>
      </c>
      <c r="U19" s="39">
        <f t="shared" si="8"/>
        <v>0</v>
      </c>
      <c r="V19" s="40">
        <f t="shared" si="8"/>
        <v>4.1313398310004006</v>
      </c>
      <c r="W19" s="40">
        <f t="shared" si="8"/>
        <v>0</v>
      </c>
      <c r="X19" s="40">
        <f t="shared" si="8"/>
        <v>0.6362433589821056</v>
      </c>
      <c r="Y19" s="40">
        <f t="shared" si="0"/>
        <v>0</v>
      </c>
      <c r="Z19" s="40">
        <f t="shared" si="0"/>
        <v>0.45005729107450587</v>
      </c>
      <c r="AA19" s="41">
        <f t="shared" si="9"/>
        <v>5.2176404810570123</v>
      </c>
      <c r="AB19" s="42">
        <v>8</v>
      </c>
      <c r="AC19" s="43">
        <f t="shared" si="10"/>
        <v>27.223772189564851</v>
      </c>
    </row>
    <row r="20" spans="1:29" x14ac:dyDescent="0.25">
      <c r="A20" s="12">
        <f t="shared" si="11"/>
        <v>2038</v>
      </c>
      <c r="B20" s="18">
        <f>[8]Inputs!$C113</f>
        <v>0</v>
      </c>
      <c r="C20" s="19">
        <f>[8]Inputs!$D113</f>
        <v>0</v>
      </c>
      <c r="D20" s="18">
        <f>[8]Inputs!$F113</f>
        <v>0</v>
      </c>
      <c r="E20" s="19"/>
      <c r="F20" s="18">
        <f t="shared" si="1"/>
        <v>0</v>
      </c>
      <c r="G20" s="19">
        <f>'[7]Resumen-Total'!$C58</f>
        <v>0</v>
      </c>
      <c r="H20" s="18">
        <f>'[7]Resumen Externa'!$I27</f>
        <v>944.64000000551721</v>
      </c>
      <c r="I20" s="19">
        <f>'[7]Resumen-Total'!$J58</f>
        <v>3481.1499584828807</v>
      </c>
      <c r="J20" s="18">
        <f t="shared" si="2"/>
        <v>2536.5099584773634</v>
      </c>
      <c r="K20" s="20"/>
      <c r="L20" s="20"/>
      <c r="N20" s="28">
        <f t="shared" si="3"/>
        <v>0</v>
      </c>
      <c r="O20" s="28">
        <f t="shared" si="3"/>
        <v>0</v>
      </c>
      <c r="P20" s="35">
        <f t="shared" si="4"/>
        <v>0</v>
      </c>
      <c r="Q20" s="29">
        <f t="shared" si="5"/>
        <v>3557797.6320192209</v>
      </c>
      <c r="R20" s="29"/>
      <c r="S20" s="29">
        <f t="shared" si="6"/>
        <v>9553257.4566091076</v>
      </c>
      <c r="T20" s="57">
        <f t="shared" si="7"/>
        <v>13111055.088628329</v>
      </c>
      <c r="U20" s="39">
        <f t="shared" si="8"/>
        <v>0</v>
      </c>
      <c r="V20" s="40">
        <f t="shared" si="8"/>
        <v>0</v>
      </c>
      <c r="W20" s="40">
        <f t="shared" si="8"/>
        <v>0</v>
      </c>
      <c r="X20" s="40">
        <f t="shared" si="8"/>
        <v>0.3305218470261585</v>
      </c>
      <c r="Y20" s="40">
        <f t="shared" si="0"/>
        <v>0</v>
      </c>
      <c r="Z20" s="40">
        <f t="shared" si="0"/>
        <v>0.88750418833765876</v>
      </c>
      <c r="AA20" s="41">
        <f t="shared" si="9"/>
        <v>1.2180260353638173</v>
      </c>
      <c r="AB20" s="42">
        <v>8</v>
      </c>
      <c r="AC20" s="43">
        <f t="shared" si="10"/>
        <v>1.4835874228240991</v>
      </c>
    </row>
    <row r="21" spans="1:29" x14ac:dyDescent="0.25">
      <c r="A21" s="12">
        <f t="shared" si="11"/>
        <v>2039</v>
      </c>
      <c r="B21" s="18">
        <f>[8]Inputs!$C114</f>
        <v>0</v>
      </c>
      <c r="C21" s="19">
        <f>[8]Inputs!$D114</f>
        <v>0</v>
      </c>
      <c r="D21" s="18">
        <f>[8]Inputs!$F114</f>
        <v>0</v>
      </c>
      <c r="E21" s="19"/>
      <c r="F21" s="18">
        <f t="shared" si="1"/>
        <v>0</v>
      </c>
      <c r="G21" s="19">
        <f>'[7]Resumen-Total'!$C59</f>
        <v>0</v>
      </c>
      <c r="H21" s="18">
        <f>'[7]Resumen Externa'!$I28</f>
        <v>0</v>
      </c>
      <c r="I21" s="19">
        <f>'[7]Resumen-Total'!$J59</f>
        <v>1470.7877156415575</v>
      </c>
      <c r="J21" s="18">
        <f t="shared" si="2"/>
        <v>1470.7877156415575</v>
      </c>
      <c r="K21" s="20"/>
      <c r="L21" s="20"/>
      <c r="N21" s="28">
        <f t="shared" si="3"/>
        <v>0</v>
      </c>
      <c r="O21" s="28">
        <f t="shared" si="3"/>
        <v>0</v>
      </c>
      <c r="P21" s="35">
        <f t="shared" si="4"/>
        <v>0</v>
      </c>
      <c r="Q21" s="29">
        <f t="shared" si="5"/>
        <v>0</v>
      </c>
      <c r="R21" s="29"/>
      <c r="S21" s="29">
        <f t="shared" si="6"/>
        <v>5539427.7734183706</v>
      </c>
      <c r="T21" s="57">
        <f t="shared" si="7"/>
        <v>5539427.7734183706</v>
      </c>
      <c r="U21" s="39">
        <f t="shared" si="8"/>
        <v>0</v>
      </c>
      <c r="V21" s="40">
        <f t="shared" si="8"/>
        <v>0</v>
      </c>
      <c r="W21" s="40">
        <f t="shared" si="8"/>
        <v>0</v>
      </c>
      <c r="X21" s="40">
        <f t="shared" si="8"/>
        <v>0</v>
      </c>
      <c r="Y21" s="40">
        <f t="shared" si="0"/>
        <v>0</v>
      </c>
      <c r="Z21" s="40">
        <f t="shared" si="0"/>
        <v>0.5146166501041588</v>
      </c>
      <c r="AA21" s="41">
        <f t="shared" si="9"/>
        <v>0.5146166501041588</v>
      </c>
      <c r="AB21" s="42">
        <v>8</v>
      </c>
      <c r="AC21" s="43">
        <f t="shared" si="10"/>
        <v>0.26483029656442619</v>
      </c>
    </row>
    <row r="22" spans="1:29" x14ac:dyDescent="0.25">
      <c r="A22" s="12">
        <f t="shared" si="11"/>
        <v>2040</v>
      </c>
      <c r="B22" s="18">
        <f>[8]Inputs!$C115</f>
        <v>0</v>
      </c>
      <c r="C22" s="19">
        <f>[8]Inputs!$D115</f>
        <v>24881699</v>
      </c>
      <c r="D22" s="18">
        <f>[8]Inputs!$F115</f>
        <v>0</v>
      </c>
      <c r="E22" s="19"/>
      <c r="F22" s="18">
        <f t="shared" si="1"/>
        <v>0</v>
      </c>
      <c r="G22" s="19">
        <f>'[7]Resumen-Total'!$C60</f>
        <v>24881699</v>
      </c>
      <c r="H22" s="18">
        <f>'[7]Resumen Externa'!$I29</f>
        <v>0</v>
      </c>
      <c r="I22" s="19">
        <f>'[7]Resumen-Total'!$J60</f>
        <v>1635.3630791290211</v>
      </c>
      <c r="J22" s="18">
        <f t="shared" si="2"/>
        <v>1635.3630791290211</v>
      </c>
      <c r="K22" s="20"/>
      <c r="L22" s="20"/>
      <c r="N22" s="28">
        <f t="shared" si="3"/>
        <v>24881699</v>
      </c>
      <c r="O22" s="28">
        <f t="shared" si="3"/>
        <v>0</v>
      </c>
      <c r="P22" s="35">
        <f t="shared" si="4"/>
        <v>0</v>
      </c>
      <c r="Q22" s="29">
        <f t="shared" si="5"/>
        <v>0</v>
      </c>
      <c r="R22" s="29"/>
      <c r="S22" s="29">
        <f t="shared" si="6"/>
        <v>6159267.9649209334</v>
      </c>
      <c r="T22" s="57">
        <f t="shared" si="7"/>
        <v>31040966.964920934</v>
      </c>
      <c r="U22" s="39">
        <f t="shared" si="8"/>
        <v>2.3115269504413711</v>
      </c>
      <c r="V22" s="40">
        <f t="shared" si="8"/>
        <v>0</v>
      </c>
      <c r="W22" s="40">
        <f t="shared" si="8"/>
        <v>0</v>
      </c>
      <c r="X22" s="40">
        <f t="shared" si="8"/>
        <v>0</v>
      </c>
      <c r="Y22" s="40">
        <f t="shared" si="0"/>
        <v>0</v>
      </c>
      <c r="Z22" s="40">
        <f t="shared" si="0"/>
        <v>0.57220023021357636</v>
      </c>
      <c r="AA22" s="41">
        <f t="shared" si="9"/>
        <v>2.8837271806549474</v>
      </c>
      <c r="AB22" s="42">
        <v>8</v>
      </c>
      <c r="AC22" s="43">
        <f t="shared" si="10"/>
        <v>8.3158824524481307</v>
      </c>
    </row>
    <row r="23" spans="1:29" x14ac:dyDescent="0.25">
      <c r="A23" s="12">
        <f t="shared" si="11"/>
        <v>2041</v>
      </c>
      <c r="B23" s="18">
        <f>[8]Inputs!$C116</f>
        <v>0</v>
      </c>
      <c r="C23" s="19">
        <f>[8]Inputs!$D116</f>
        <v>0</v>
      </c>
      <c r="D23" s="18">
        <f>[8]Inputs!$F116</f>
        <v>7114726.1642708005</v>
      </c>
      <c r="E23" s="19"/>
      <c r="F23" s="18">
        <f t="shared" si="1"/>
        <v>0</v>
      </c>
      <c r="G23" s="19">
        <f>'[7]Resumen-Total'!$C61</f>
        <v>7114726.1642708005</v>
      </c>
      <c r="H23" s="18">
        <f>'[7]Resumen Externa'!$I30</f>
        <v>2500</v>
      </c>
      <c r="I23" s="19">
        <f>'[7]Resumen-Total'!$J61</f>
        <v>3031.4354240073117</v>
      </c>
      <c r="J23" s="18">
        <f t="shared" si="2"/>
        <v>531.43542400731167</v>
      </c>
      <c r="K23" s="20"/>
      <c r="L23" s="20"/>
      <c r="N23" s="28">
        <f t="shared" si="3"/>
        <v>0</v>
      </c>
      <c r="O23" s="28">
        <f t="shared" si="3"/>
        <v>7114726.1642708005</v>
      </c>
      <c r="P23" s="35">
        <f t="shared" si="4"/>
        <v>0</v>
      </c>
      <c r="Q23" s="29">
        <f t="shared" si="5"/>
        <v>9415749.9999958742</v>
      </c>
      <c r="R23" s="29"/>
      <c r="S23" s="29">
        <f t="shared" si="6"/>
        <v>2001545.237437861</v>
      </c>
      <c r="T23" s="57">
        <f t="shared" si="7"/>
        <v>18532021.401704535</v>
      </c>
      <c r="U23" s="39">
        <f t="shared" si="8"/>
        <v>0</v>
      </c>
      <c r="V23" s="40">
        <f t="shared" si="8"/>
        <v>0.66096295408614636</v>
      </c>
      <c r="W23" s="40">
        <f t="shared" si="8"/>
        <v>0</v>
      </c>
      <c r="X23" s="40">
        <f t="shared" si="8"/>
        <v>0.87472965104227007</v>
      </c>
      <c r="Y23" s="40">
        <f t="shared" si="0"/>
        <v>0</v>
      </c>
      <c r="Z23" s="40">
        <f t="shared" si="0"/>
        <v>0.18594492919736663</v>
      </c>
      <c r="AA23" s="41">
        <f t="shared" si="9"/>
        <v>1.721637534325783</v>
      </c>
      <c r="AB23" s="42">
        <v>8</v>
      </c>
      <c r="AC23" s="43">
        <f t="shared" si="10"/>
        <v>2.9640357995993618</v>
      </c>
    </row>
    <row r="24" spans="1:29" x14ac:dyDescent="0.25">
      <c r="A24" s="12">
        <f t="shared" si="11"/>
        <v>2042</v>
      </c>
      <c r="B24" s="18">
        <f>[8]Inputs!$C117</f>
        <v>0</v>
      </c>
      <c r="C24" s="19">
        <f>[8]Inputs!$D117</f>
        <v>47012754.799999997</v>
      </c>
      <c r="D24" s="18">
        <f>[8]Inputs!$F117</f>
        <v>0</v>
      </c>
      <c r="E24" s="19"/>
      <c r="F24" s="18">
        <f t="shared" si="1"/>
        <v>0</v>
      </c>
      <c r="G24" s="19">
        <f>'[7]Resumen-Total'!$C62</f>
        <v>47012754.799999997</v>
      </c>
      <c r="H24" s="18">
        <f>'[7]Resumen Externa'!$I31</f>
        <v>514.54600000000005</v>
      </c>
      <c r="I24" s="19">
        <f>'[7]Resumen-Total'!$J62</f>
        <v>851.50576068809085</v>
      </c>
      <c r="J24" s="18">
        <f t="shared" si="2"/>
        <v>336.9597606880908</v>
      </c>
      <c r="K24" s="20"/>
      <c r="L24" s="20"/>
      <c r="N24" s="28">
        <f t="shared" si="3"/>
        <v>47012754.799999997</v>
      </c>
      <c r="O24" s="28">
        <f t="shared" si="3"/>
        <v>0</v>
      </c>
      <c r="P24" s="35">
        <f t="shared" si="4"/>
        <v>0</v>
      </c>
      <c r="Q24" s="29">
        <f t="shared" si="5"/>
        <v>1937934.5997991511</v>
      </c>
      <c r="R24" s="29"/>
      <c r="S24" s="29">
        <f t="shared" si="6"/>
        <v>1269091.5466790004</v>
      </c>
      <c r="T24" s="57">
        <f t="shared" si="7"/>
        <v>50219780.946478143</v>
      </c>
      <c r="U24" s="39">
        <f t="shared" si="8"/>
        <v>4.3675172557425403</v>
      </c>
      <c r="V24" s="40">
        <f t="shared" si="8"/>
        <v>0</v>
      </c>
      <c r="W24" s="40">
        <f t="shared" si="8"/>
        <v>0</v>
      </c>
      <c r="X24" s="40">
        <f t="shared" si="8"/>
        <v>0.18003545721007838</v>
      </c>
      <c r="Y24" s="40">
        <f t="shared" si="0"/>
        <v>0</v>
      </c>
      <c r="Z24" s="40">
        <f t="shared" si="0"/>
        <v>0.1178994775527922</v>
      </c>
      <c r="AA24" s="41">
        <f t="shared" si="9"/>
        <v>4.6654521905054107</v>
      </c>
      <c r="AB24" s="42">
        <v>8</v>
      </c>
      <c r="AC24" s="43">
        <f t="shared" si="10"/>
        <v>21.766444141891736</v>
      </c>
    </row>
    <row r="25" spans="1:29" x14ac:dyDescent="0.25">
      <c r="A25" s="12">
        <f t="shared" si="11"/>
        <v>2043</v>
      </c>
      <c r="B25" s="18">
        <f>[8]Inputs!$C118</f>
        <v>0</v>
      </c>
      <c r="C25" s="19">
        <f>[8]Inputs!$D118</f>
        <v>0</v>
      </c>
      <c r="D25" s="18">
        <f>[8]Inputs!$F118</f>
        <v>0</v>
      </c>
      <c r="E25" s="19"/>
      <c r="F25" s="18">
        <f t="shared" si="1"/>
        <v>0</v>
      </c>
      <c r="G25" s="19">
        <f>'[7]Resumen-Total'!$C63</f>
        <v>0</v>
      </c>
      <c r="H25" s="18">
        <f>'[7]Resumen Externa'!$I32</f>
        <v>0</v>
      </c>
      <c r="I25" s="19">
        <f>'[7]Resumen-Total'!$J63</f>
        <v>141.44008730477617</v>
      </c>
      <c r="J25" s="18">
        <f t="shared" si="2"/>
        <v>141.44008730477617</v>
      </c>
      <c r="K25" s="20"/>
      <c r="L25" s="20"/>
      <c r="N25" s="28">
        <f t="shared" si="3"/>
        <v>0</v>
      </c>
      <c r="O25" s="28">
        <f t="shared" si="3"/>
        <v>0</v>
      </c>
      <c r="P25" s="35">
        <f t="shared" si="4"/>
        <v>0</v>
      </c>
      <c r="Q25" s="29">
        <f t="shared" si="5"/>
        <v>0</v>
      </c>
      <c r="R25" s="29"/>
      <c r="S25" s="29">
        <f t="shared" si="6"/>
        <v>532705.80081574514</v>
      </c>
      <c r="T25" s="57">
        <f t="shared" si="7"/>
        <v>532705.80081574514</v>
      </c>
      <c r="U25" s="39">
        <f t="shared" si="8"/>
        <v>0</v>
      </c>
      <c r="V25" s="40">
        <f t="shared" si="8"/>
        <v>0</v>
      </c>
      <c r="W25" s="40">
        <f t="shared" si="8"/>
        <v>0</v>
      </c>
      <c r="X25" s="40">
        <f t="shared" si="8"/>
        <v>0</v>
      </c>
      <c r="Y25" s="40">
        <f t="shared" si="0"/>
        <v>0</v>
      </c>
      <c r="Z25" s="40">
        <f t="shared" si="0"/>
        <v>4.9488735284598039E-2</v>
      </c>
      <c r="AA25" s="41">
        <f t="shared" si="9"/>
        <v>4.9488735284598039E-2</v>
      </c>
      <c r="AB25" s="42">
        <v>8</v>
      </c>
      <c r="AC25" s="43">
        <f t="shared" si="10"/>
        <v>2.4491349200690187E-3</v>
      </c>
    </row>
    <row r="26" spans="1:29" x14ac:dyDescent="0.25">
      <c r="A26" s="12">
        <f t="shared" si="11"/>
        <v>2044</v>
      </c>
      <c r="B26" s="18">
        <f>[8]Inputs!$C119</f>
        <v>0</v>
      </c>
      <c r="C26" s="19">
        <f>[8]Inputs!$D119</f>
        <v>0</v>
      </c>
      <c r="D26" s="18">
        <f>[8]Inputs!$F119</f>
        <v>0</v>
      </c>
      <c r="E26" s="19"/>
      <c r="F26" s="18">
        <f t="shared" si="1"/>
        <v>0</v>
      </c>
      <c r="G26" s="19">
        <f>'[7]Resumen-Total'!$C64</f>
        <v>0</v>
      </c>
      <c r="H26" s="18">
        <f>'[7]Resumen Externa'!$I33</f>
        <v>2500</v>
      </c>
      <c r="I26" s="19">
        <f>'[7]Resumen-Total'!$J64</f>
        <v>2600.0574854615206</v>
      </c>
      <c r="J26" s="18">
        <f t="shared" si="2"/>
        <v>100.05748546152063</v>
      </c>
      <c r="K26" s="20"/>
      <c r="L26" s="20"/>
      <c r="N26" s="28">
        <f t="shared" si="3"/>
        <v>0</v>
      </c>
      <c r="O26" s="28">
        <f t="shared" si="3"/>
        <v>0</v>
      </c>
      <c r="P26" s="35">
        <f t="shared" si="4"/>
        <v>0</v>
      </c>
      <c r="Q26" s="29">
        <f t="shared" si="5"/>
        <v>9415749.9999958742</v>
      </c>
      <c r="R26" s="29"/>
      <c r="S26" s="29">
        <f t="shared" si="6"/>
        <v>376846.50749356003</v>
      </c>
      <c r="T26" s="57">
        <f t="shared" si="7"/>
        <v>9792596.5074894335</v>
      </c>
      <c r="U26" s="39">
        <f>(N26/$S$3)*100</f>
        <v>0</v>
      </c>
      <c r="V26" s="40">
        <f t="shared" si="8"/>
        <v>0</v>
      </c>
      <c r="W26" s="40">
        <f t="shared" si="8"/>
        <v>0</v>
      </c>
      <c r="X26" s="40">
        <f t="shared" si="8"/>
        <v>0.87472965104227007</v>
      </c>
      <c r="Y26" s="40">
        <f t="shared" si="0"/>
        <v>0</v>
      </c>
      <c r="Z26" s="40">
        <f t="shared" si="0"/>
        <v>3.5009299736769181E-2</v>
      </c>
      <c r="AA26" s="41">
        <f t="shared" si="9"/>
        <v>0.90973895077903921</v>
      </c>
      <c r="AB26" s="42">
        <v>8</v>
      </c>
      <c r="AC26" s="43">
        <f t="shared" si="10"/>
        <v>0.8276249585645471</v>
      </c>
    </row>
    <row r="27" spans="1:29" x14ac:dyDescent="0.25">
      <c r="A27" s="12">
        <f t="shared" si="11"/>
        <v>2045</v>
      </c>
      <c r="B27" s="18">
        <f>[8]Inputs!$C120</f>
        <v>0</v>
      </c>
      <c r="C27" s="19">
        <f>[8]Inputs!$D120</f>
        <v>0</v>
      </c>
      <c r="D27" s="18">
        <f>[8]Inputs!$F120</f>
        <v>0</v>
      </c>
      <c r="E27" s="19"/>
      <c r="F27" s="18">
        <f t="shared" si="1"/>
        <v>0</v>
      </c>
      <c r="G27" s="19">
        <f>'[7]Resumen-Total'!$C65</f>
        <v>0</v>
      </c>
      <c r="H27" s="18">
        <f>'[7]Resumen Externa'!$I34</f>
        <v>3670.9479999999999</v>
      </c>
      <c r="I27" s="19">
        <f>'[7]Resumen-Total'!$J65</f>
        <v>3761.6552315726412</v>
      </c>
      <c r="J27" s="18">
        <f t="shared" si="2"/>
        <v>90.707231572641376</v>
      </c>
      <c r="K27" s="20"/>
      <c r="L27" s="20"/>
      <c r="N27" s="28">
        <f t="shared" si="3"/>
        <v>0</v>
      </c>
      <c r="O27" s="28">
        <f t="shared" si="3"/>
        <v>0</v>
      </c>
      <c r="P27" s="35">
        <f t="shared" si="4"/>
        <v>0</v>
      </c>
      <c r="Q27" s="29">
        <f t="shared" si="5"/>
        <v>13825891.452393942</v>
      </c>
      <c r="R27" s="29"/>
      <c r="S27" s="29">
        <f t="shared" si="6"/>
        <v>341630.64627188956</v>
      </c>
      <c r="T27" s="57">
        <f t="shared" si="7"/>
        <v>14167522.098665832</v>
      </c>
      <c r="U27" s="39">
        <f t="shared" si="8"/>
        <v>0</v>
      </c>
      <c r="V27" s="40">
        <f t="shared" si="8"/>
        <v>0</v>
      </c>
      <c r="W27" s="40">
        <f t="shared" si="8"/>
        <v>0</v>
      </c>
      <c r="X27" s="40">
        <f t="shared" si="8"/>
        <v>1.2844348252137276</v>
      </c>
      <c r="Y27" s="40">
        <f t="shared" si="0"/>
        <v>0</v>
      </c>
      <c r="Z27" s="40">
        <f t="shared" si="0"/>
        <v>3.173772200821879E-2</v>
      </c>
      <c r="AA27" s="41">
        <f t="shared" si="9"/>
        <v>1.3161725472219465</v>
      </c>
      <c r="AB27" s="42">
        <v>8</v>
      </c>
      <c r="AC27" s="43">
        <f t="shared" si="10"/>
        <v>1.7323101740607072</v>
      </c>
    </row>
    <row r="28" spans="1:29" x14ac:dyDescent="0.25">
      <c r="A28" s="12">
        <f t="shared" si="11"/>
        <v>2046</v>
      </c>
      <c r="B28" s="18">
        <f>[8]Inputs!$C121</f>
        <v>0</v>
      </c>
      <c r="C28" s="19">
        <f>[8]Inputs!$D121</f>
        <v>38372554.399999999</v>
      </c>
      <c r="D28" s="18">
        <f>[8]Inputs!$F121</f>
        <v>0</v>
      </c>
      <c r="E28" s="19"/>
      <c r="F28" s="18">
        <f t="shared" si="1"/>
        <v>0</v>
      </c>
      <c r="G28" s="19">
        <f>'[7]Resumen-Total'!$C66</f>
        <v>38372554.399999999</v>
      </c>
      <c r="H28" s="18">
        <f>'[7]Resumen Externa'!$I35</f>
        <v>0</v>
      </c>
      <c r="I28" s="19">
        <f>'[7]Resumen-Total'!$J66</f>
        <v>84.536439787747696</v>
      </c>
      <c r="J28" s="18">
        <f t="shared" si="2"/>
        <v>84.536439787747696</v>
      </c>
      <c r="K28" s="20"/>
      <c r="L28" s="20"/>
      <c r="N28" s="28">
        <f t="shared" si="3"/>
        <v>38372554.399999999</v>
      </c>
      <c r="O28" s="28">
        <f t="shared" si="3"/>
        <v>0</v>
      </c>
      <c r="P28" s="35">
        <f t="shared" si="4"/>
        <v>0</v>
      </c>
      <c r="Q28" s="29">
        <f t="shared" si="5"/>
        <v>0</v>
      </c>
      <c r="R28" s="29"/>
      <c r="S28" s="29">
        <f t="shared" si="6"/>
        <v>318389.59317245468</v>
      </c>
      <c r="T28" s="57">
        <f t="shared" si="7"/>
        <v>38690943.993172452</v>
      </c>
      <c r="U28" s="39">
        <f t="shared" si="8"/>
        <v>3.5648366959538254</v>
      </c>
      <c r="V28" s="40">
        <f t="shared" si="8"/>
        <v>0</v>
      </c>
      <c r="W28" s="40">
        <f t="shared" si="8"/>
        <v>0</v>
      </c>
      <c r="X28" s="40">
        <f t="shared" si="8"/>
        <v>0</v>
      </c>
      <c r="Y28" s="40">
        <f t="shared" si="0"/>
        <v>0</v>
      </c>
      <c r="Z28" s="40">
        <f t="shared" si="0"/>
        <v>2.9578612190356974E-2</v>
      </c>
      <c r="AA28" s="41">
        <f t="shared" si="9"/>
        <v>3.5944153081441823</v>
      </c>
      <c r="AB28" s="42">
        <v>8</v>
      </c>
      <c r="AC28" s="43">
        <f t="shared" si="10"/>
        <v>12.919821407421237</v>
      </c>
    </row>
    <row r="29" spans="1:29" x14ac:dyDescent="0.25">
      <c r="A29" s="12">
        <f t="shared" si="11"/>
        <v>2047</v>
      </c>
      <c r="B29" s="18">
        <f>[8]Inputs!$C122</f>
        <v>0</v>
      </c>
      <c r="C29" s="19">
        <f>[8]Inputs!$D122</f>
        <v>0</v>
      </c>
      <c r="D29" s="18">
        <f>[8]Inputs!$F122</f>
        <v>0</v>
      </c>
      <c r="E29" s="19"/>
      <c r="F29" s="18">
        <f t="shared" si="1"/>
        <v>0</v>
      </c>
      <c r="G29" s="19">
        <f>'[7]Resumen-Total'!$C67</f>
        <v>0</v>
      </c>
      <c r="H29" s="18">
        <f>'[7]Resumen Externa'!$I36</f>
        <v>0</v>
      </c>
      <c r="I29" s="19">
        <f>'[7]Resumen-Total'!$J67</f>
        <v>78.846165648017973</v>
      </c>
      <c r="J29" s="18">
        <f t="shared" si="2"/>
        <v>78.846165648017973</v>
      </c>
      <c r="K29" s="20"/>
      <c r="L29" s="20"/>
      <c r="N29" s="28">
        <f t="shared" si="3"/>
        <v>0</v>
      </c>
      <c r="O29" s="28">
        <f t="shared" si="3"/>
        <v>0</v>
      </c>
      <c r="P29" s="35">
        <f t="shared" si="4"/>
        <v>0</v>
      </c>
      <c r="Q29" s="29">
        <f t="shared" si="5"/>
        <v>0</v>
      </c>
      <c r="R29" s="29"/>
      <c r="S29" s="29">
        <f t="shared" si="6"/>
        <v>296958.31367999996</v>
      </c>
      <c r="T29" s="57">
        <f t="shared" si="7"/>
        <v>296958.31367999996</v>
      </c>
      <c r="U29" s="39">
        <f t="shared" si="8"/>
        <v>0</v>
      </c>
      <c r="V29" s="40">
        <f t="shared" si="8"/>
        <v>0</v>
      </c>
      <c r="W29" s="40">
        <f t="shared" si="8"/>
        <v>0</v>
      </c>
      <c r="X29" s="40">
        <f t="shared" si="8"/>
        <v>0</v>
      </c>
      <c r="Y29" s="40">
        <f t="shared" si="0"/>
        <v>0</v>
      </c>
      <c r="Z29" s="40">
        <f t="shared" si="0"/>
        <v>2.7587631585324714E-2</v>
      </c>
      <c r="AA29" s="41">
        <f t="shared" si="9"/>
        <v>2.7587631585324714E-2</v>
      </c>
      <c r="AB29" s="42">
        <v>8</v>
      </c>
      <c r="AC29" s="43">
        <f t="shared" si="10"/>
        <v>7.6107741648760577E-4</v>
      </c>
    </row>
    <row r="30" spans="1:29" x14ac:dyDescent="0.25">
      <c r="A30" s="12">
        <f t="shared" si="11"/>
        <v>2048</v>
      </c>
      <c r="B30" s="18">
        <f>[8]Inputs!$C123</f>
        <v>0</v>
      </c>
      <c r="C30" s="19">
        <f>[8]Inputs!$D123</f>
        <v>0</v>
      </c>
      <c r="D30" s="18">
        <f>[8]Inputs!$F123</f>
        <v>0</v>
      </c>
      <c r="E30" s="19"/>
      <c r="F30" s="18">
        <f t="shared" si="1"/>
        <v>0</v>
      </c>
      <c r="G30" s="19">
        <f>'[7]Resumen-Total'!$C68</f>
        <v>0</v>
      </c>
      <c r="H30" s="18">
        <f>'[7]Resumen Externa'!$I37</f>
        <v>0</v>
      </c>
      <c r="I30" s="19">
        <f>'[7]Resumen-Total'!$J68</f>
        <v>78.251194486749199</v>
      </c>
      <c r="J30" s="18">
        <f t="shared" si="2"/>
        <v>78.251194486749199</v>
      </c>
      <c r="K30" s="20"/>
      <c r="L30" s="20"/>
      <c r="N30" s="28">
        <f t="shared" si="3"/>
        <v>0</v>
      </c>
      <c r="O30" s="28">
        <f t="shared" si="3"/>
        <v>0</v>
      </c>
      <c r="P30" s="35">
        <f t="shared" si="4"/>
        <v>0</v>
      </c>
      <c r="Q30" s="29">
        <f t="shared" si="5"/>
        <v>0</v>
      </c>
      <c r="R30" s="29"/>
      <c r="S30" s="29">
        <f t="shared" si="6"/>
        <v>294717.47379531438</v>
      </c>
      <c r="T30" s="57">
        <f t="shared" si="7"/>
        <v>294717.47379531438</v>
      </c>
      <c r="U30" s="39">
        <f t="shared" si="8"/>
        <v>0</v>
      </c>
      <c r="V30" s="40">
        <f t="shared" si="8"/>
        <v>0</v>
      </c>
      <c r="W30" s="40">
        <f t="shared" si="8"/>
        <v>0</v>
      </c>
      <c r="X30" s="40">
        <f t="shared" si="8"/>
        <v>0</v>
      </c>
      <c r="Y30" s="40">
        <f t="shared" si="0"/>
        <v>0</v>
      </c>
      <c r="Z30" s="40">
        <f t="shared" si="0"/>
        <v>2.7379456018813975E-2</v>
      </c>
      <c r="AA30" s="41">
        <f t="shared" si="9"/>
        <v>2.7379456018813975E-2</v>
      </c>
      <c r="AB30" s="42">
        <v>8</v>
      </c>
      <c r="AC30" s="43">
        <f t="shared" si="10"/>
        <v>7.4963461188616879E-4</v>
      </c>
    </row>
    <row r="31" spans="1:29" x14ac:dyDescent="0.25">
      <c r="A31" s="12">
        <f t="shared" si="11"/>
        <v>2049</v>
      </c>
      <c r="B31" s="18">
        <f>[8]Inputs!$C124</f>
        <v>0</v>
      </c>
      <c r="C31" s="19">
        <f>[8]Inputs!$D124</f>
        <v>0</v>
      </c>
      <c r="D31" s="18">
        <f>[8]Inputs!$F124</f>
        <v>32312384.262627598</v>
      </c>
      <c r="E31" s="19"/>
      <c r="F31" s="18">
        <f t="shared" si="1"/>
        <v>0</v>
      </c>
      <c r="G31" s="19">
        <f>'[7]Resumen-Total'!$C69</f>
        <v>32312384.262627598</v>
      </c>
      <c r="H31" s="18">
        <f>'[7]Resumen Externa'!$I38</f>
        <v>2168.4830000000002</v>
      </c>
      <c r="I31" s="19">
        <f>'[7]Resumen-Total'!$J69</f>
        <v>2244.7935888696697</v>
      </c>
      <c r="J31" s="18">
        <f t="shared" si="2"/>
        <v>76.310588869669573</v>
      </c>
      <c r="K31" s="20"/>
      <c r="L31" s="20"/>
      <c r="N31" s="28">
        <f t="shared" si="3"/>
        <v>0</v>
      </c>
      <c r="O31" s="28">
        <f t="shared" si="3"/>
        <v>32312384.262627598</v>
      </c>
      <c r="P31" s="35">
        <f t="shared" si="4"/>
        <v>0</v>
      </c>
      <c r="Q31" s="29">
        <f t="shared" si="5"/>
        <v>8167157.5228964221</v>
      </c>
      <c r="R31" s="29"/>
      <c r="S31" s="29">
        <f t="shared" si="6"/>
        <v>287408.57085971057</v>
      </c>
      <c r="T31" s="57">
        <f t="shared" si="7"/>
        <v>40766950.356383726</v>
      </c>
      <c r="U31" s="39">
        <f t="shared" si="8"/>
        <v>0</v>
      </c>
      <c r="V31" s="40">
        <f t="shared" si="8"/>
        <v>3.0018427220778339</v>
      </c>
      <c r="W31" s="40">
        <f t="shared" si="8"/>
        <v>0</v>
      </c>
      <c r="X31" s="40">
        <f t="shared" si="8"/>
        <v>0.75873455115243804</v>
      </c>
      <c r="Y31" s="40">
        <f t="shared" si="0"/>
        <v>0</v>
      </c>
      <c r="Z31" s="40">
        <f t="shared" si="0"/>
        <v>2.6700453909118481E-2</v>
      </c>
      <c r="AA31" s="41">
        <f t="shared" si="9"/>
        <v>3.7872777271393905</v>
      </c>
      <c r="AB31" s="42">
        <v>8</v>
      </c>
      <c r="AC31" s="43">
        <f t="shared" si="10"/>
        <v>14.343472582486108</v>
      </c>
    </row>
    <row r="32" spans="1:29" x14ac:dyDescent="0.25">
      <c r="A32" s="12">
        <f t="shared" si="11"/>
        <v>2050</v>
      </c>
      <c r="B32" s="18">
        <f>[8]Inputs!$C125</f>
        <v>0</v>
      </c>
      <c r="C32" s="19">
        <f>[8]Inputs!$D125</f>
        <v>21893239.399999999</v>
      </c>
      <c r="D32" s="18">
        <f>[8]Inputs!$F125</f>
        <v>0</v>
      </c>
      <c r="E32" s="19"/>
      <c r="F32" s="18">
        <f t="shared" si="1"/>
        <v>0</v>
      </c>
      <c r="G32" s="19">
        <f>'[7]Resumen-Total'!$C70</f>
        <v>21893239.399999999</v>
      </c>
      <c r="H32" s="18">
        <f>'[7]Resumen Externa'!$I39</f>
        <v>0</v>
      </c>
      <c r="I32" s="19">
        <f>'[7]Resumen-Total'!$J70</f>
        <v>65.071612941509315</v>
      </c>
      <c r="J32" s="18">
        <f t="shared" si="2"/>
        <v>65.071612941509315</v>
      </c>
      <c r="K32" s="20"/>
      <c r="L32" s="20"/>
      <c r="N32" s="28">
        <f t="shared" si="3"/>
        <v>21893239.399999999</v>
      </c>
      <c r="O32" s="28">
        <f t="shared" si="3"/>
        <v>0</v>
      </c>
      <c r="P32" s="35">
        <f t="shared" si="4"/>
        <v>0</v>
      </c>
      <c r="Q32" s="29">
        <f t="shared" si="5"/>
        <v>0</v>
      </c>
      <c r="R32" s="29"/>
      <c r="S32" s="29">
        <f t="shared" si="6"/>
        <v>245079.21582149915</v>
      </c>
      <c r="T32" s="57">
        <f t="shared" si="7"/>
        <v>22138318.615821499</v>
      </c>
      <c r="U32" s="39">
        <f t="shared" si="8"/>
        <v>2.0338969981738333</v>
      </c>
      <c r="V32" s="40">
        <f t="shared" si="8"/>
        <v>0</v>
      </c>
      <c r="W32" s="40">
        <f t="shared" si="8"/>
        <v>0</v>
      </c>
      <c r="X32" s="40">
        <f t="shared" si="8"/>
        <v>0</v>
      </c>
      <c r="Y32" s="40">
        <f t="shared" si="0"/>
        <v>0</v>
      </c>
      <c r="Z32" s="40">
        <f t="shared" si="0"/>
        <v>2.2768027712433643E-2</v>
      </c>
      <c r="AA32" s="41">
        <f t="shared" si="9"/>
        <v>2.0566650258862671</v>
      </c>
      <c r="AB32" s="42">
        <v>8</v>
      </c>
      <c r="AC32" s="43">
        <f t="shared" si="10"/>
        <v>4.2298710287037595</v>
      </c>
    </row>
    <row r="33" spans="1:29" x14ac:dyDescent="0.25">
      <c r="A33" s="12">
        <f t="shared" si="11"/>
        <v>2051</v>
      </c>
      <c r="B33" s="18">
        <f>[8]Inputs!$C126</f>
        <v>0</v>
      </c>
      <c r="C33" s="19">
        <f>[8]Inputs!$D126</f>
        <v>0</v>
      </c>
      <c r="D33" s="18">
        <f>[8]Inputs!$F126</f>
        <v>0</v>
      </c>
      <c r="E33" s="19"/>
      <c r="F33" s="18">
        <f t="shared" si="1"/>
        <v>0</v>
      </c>
      <c r="G33" s="19">
        <f>'[7]Resumen-Total'!$C71</f>
        <v>0</v>
      </c>
      <c r="H33" s="18">
        <f>'[7]Resumen Externa'!$I40</f>
        <v>1035.7260000000001</v>
      </c>
      <c r="I33" s="19">
        <f>'[7]Resumen-Total'!$J71</f>
        <v>1084.5622278034132</v>
      </c>
      <c r="J33" s="18">
        <f t="shared" si="2"/>
        <v>48.836227803413067</v>
      </c>
      <c r="K33" s="20"/>
      <c r="L33" s="20"/>
      <c r="N33" s="28">
        <f t="shared" si="3"/>
        <v>0</v>
      </c>
      <c r="O33" s="28">
        <f t="shared" si="3"/>
        <v>0</v>
      </c>
      <c r="P33" s="35">
        <f t="shared" si="4"/>
        <v>0</v>
      </c>
      <c r="Q33" s="29">
        <f t="shared" si="5"/>
        <v>3900854.8337982912</v>
      </c>
      <c r="R33" s="29"/>
      <c r="S33" s="29">
        <f t="shared" si="6"/>
        <v>183931.88477591405</v>
      </c>
      <c r="T33" s="57">
        <f t="shared" si="7"/>
        <v>4084786.7185742054</v>
      </c>
      <c r="U33" s="39">
        <f t="shared" si="8"/>
        <v>0</v>
      </c>
      <c r="V33" s="40">
        <f t="shared" si="8"/>
        <v>0</v>
      </c>
      <c r="W33" s="40">
        <f t="shared" si="8"/>
        <v>0</v>
      </c>
      <c r="X33" s="40">
        <f t="shared" si="8"/>
        <v>0.36239209702216252</v>
      </c>
      <c r="Y33" s="40">
        <f t="shared" si="0"/>
        <v>0</v>
      </c>
      <c r="Z33" s="40">
        <f t="shared" si="0"/>
        <v>1.7087398601880129E-2</v>
      </c>
      <c r="AA33" s="41">
        <f t="shared" si="9"/>
        <v>0.37947949562404265</v>
      </c>
      <c r="AB33" s="42">
        <v>8</v>
      </c>
      <c r="AC33" s="43">
        <f t="shared" si="10"/>
        <v>0.14400468759907781</v>
      </c>
    </row>
    <row r="34" spans="1:29" x14ac:dyDescent="0.25">
      <c r="A34" s="12">
        <f t="shared" si="11"/>
        <v>2052</v>
      </c>
      <c r="B34" s="18">
        <f>[8]Inputs!$C127</f>
        <v>0</v>
      </c>
      <c r="C34" s="19">
        <f>[8]Inputs!$D127</f>
        <v>0</v>
      </c>
      <c r="D34" s="18">
        <f>[8]Inputs!$F127</f>
        <v>0</v>
      </c>
      <c r="E34" s="19"/>
      <c r="F34" s="18">
        <f t="shared" si="1"/>
        <v>0</v>
      </c>
      <c r="G34" s="19">
        <f>'[7]Resumen-Total'!$C72</f>
        <v>0</v>
      </c>
      <c r="H34" s="18">
        <f>'[7]Resumen Externa'!$I41</f>
        <v>0</v>
      </c>
      <c r="I34" s="19">
        <f>'[7]Resumen-Total'!$J72</f>
        <v>48.836227803412974</v>
      </c>
      <c r="J34" s="18">
        <f t="shared" si="2"/>
        <v>48.836227803412974</v>
      </c>
      <c r="K34" s="20"/>
      <c r="L34" s="20"/>
      <c r="N34" s="28">
        <f t="shared" si="3"/>
        <v>0</v>
      </c>
      <c r="O34" s="28">
        <f t="shared" si="3"/>
        <v>0</v>
      </c>
      <c r="P34" s="35">
        <f t="shared" si="4"/>
        <v>0</v>
      </c>
      <c r="Q34" s="29">
        <f t="shared" si="5"/>
        <v>0</v>
      </c>
      <c r="R34" s="29"/>
      <c r="S34" s="29">
        <f t="shared" si="6"/>
        <v>183931.8847759137</v>
      </c>
      <c r="T34" s="57">
        <f t="shared" si="7"/>
        <v>183931.8847759137</v>
      </c>
      <c r="U34" s="39">
        <f t="shared" si="8"/>
        <v>0</v>
      </c>
      <c r="V34" s="40">
        <f t="shared" si="8"/>
        <v>0</v>
      </c>
      <c r="W34" s="40">
        <f t="shared" si="8"/>
        <v>0</v>
      </c>
      <c r="X34" s="40">
        <f t="shared" si="8"/>
        <v>0</v>
      </c>
      <c r="Y34" s="40">
        <f t="shared" si="0"/>
        <v>0</v>
      </c>
      <c r="Z34" s="40">
        <f t="shared" si="0"/>
        <v>1.7087398601880098E-2</v>
      </c>
      <c r="AA34" s="41">
        <f t="shared" si="9"/>
        <v>1.7087398601880098E-2</v>
      </c>
      <c r="AB34" s="42">
        <v>8</v>
      </c>
      <c r="AC34" s="43">
        <f t="shared" si="10"/>
        <v>2.9197919097953394E-4</v>
      </c>
    </row>
    <row r="35" spans="1:29" x14ac:dyDescent="0.25">
      <c r="A35" s="12">
        <f t="shared" si="11"/>
        <v>2053</v>
      </c>
      <c r="B35" s="18">
        <f>[8]Inputs!$C128</f>
        <v>0</v>
      </c>
      <c r="C35" s="19">
        <f>[8]Inputs!$D128</f>
        <v>0</v>
      </c>
      <c r="D35" s="18">
        <f>[8]Inputs!$F128</f>
        <v>0</v>
      </c>
      <c r="E35" s="19"/>
      <c r="F35" s="18">
        <f t="shared" si="1"/>
        <v>0</v>
      </c>
      <c r="G35" s="19">
        <f>'[7]Resumen-Total'!$C73</f>
        <v>0</v>
      </c>
      <c r="H35" s="18">
        <f>'[7]Resumen Externa'!$I42</f>
        <v>845.375</v>
      </c>
      <c r="I35" s="19">
        <f>'[7]Resumen-Total'!$J73</f>
        <v>894.21122780341295</v>
      </c>
      <c r="J35" s="18">
        <f t="shared" si="2"/>
        <v>48.836227803412953</v>
      </c>
      <c r="K35" s="20"/>
      <c r="L35" s="20"/>
      <c r="N35" s="28">
        <f t="shared" si="3"/>
        <v>0</v>
      </c>
      <c r="O35" s="28">
        <f t="shared" si="3"/>
        <v>0</v>
      </c>
      <c r="P35" s="35">
        <f t="shared" si="4"/>
        <v>0</v>
      </c>
      <c r="Q35" s="29">
        <f t="shared" si="5"/>
        <v>3183935.8624986052</v>
      </c>
      <c r="R35" s="29"/>
      <c r="S35" s="29">
        <f t="shared" si="6"/>
        <v>183931.88477591361</v>
      </c>
      <c r="T35" s="57">
        <f t="shared" si="7"/>
        <v>3367867.7472745189</v>
      </c>
      <c r="U35" s="39">
        <f t="shared" si="8"/>
        <v>0</v>
      </c>
      <c r="V35" s="40">
        <f t="shared" si="8"/>
        <v>0</v>
      </c>
      <c r="W35" s="40">
        <f t="shared" si="8"/>
        <v>0</v>
      </c>
      <c r="X35" s="40">
        <f t="shared" si="8"/>
        <v>0.29578983149994365</v>
      </c>
      <c r="Y35" s="40">
        <f t="shared" si="0"/>
        <v>0</v>
      </c>
      <c r="Z35" s="40">
        <f t="shared" si="0"/>
        <v>1.7087398601880088E-2</v>
      </c>
      <c r="AA35" s="41">
        <f t="shared" si="9"/>
        <v>0.31287723010182372</v>
      </c>
      <c r="AB35" s="42">
        <v>8</v>
      </c>
      <c r="AC35" s="43">
        <f t="shared" si="10"/>
        <v>9.7892161116189549E-2</v>
      </c>
    </row>
    <row r="36" spans="1:29" x14ac:dyDescent="0.25">
      <c r="A36" s="12">
        <f t="shared" si="11"/>
        <v>2054</v>
      </c>
      <c r="B36" s="18">
        <f>[8]Inputs!$C129</f>
        <v>0</v>
      </c>
      <c r="C36" s="19">
        <f>[8]Inputs!$D129</f>
        <v>0</v>
      </c>
      <c r="D36" s="18">
        <f>[8]Inputs!$F129</f>
        <v>0</v>
      </c>
      <c r="E36" s="19"/>
      <c r="F36" s="18">
        <f t="shared" si="1"/>
        <v>0</v>
      </c>
      <c r="G36" s="19">
        <f>'[7]Resumen-Total'!$C74</f>
        <v>0</v>
      </c>
      <c r="H36" s="18">
        <f>'[7]Resumen Externa'!$I43</f>
        <v>1640</v>
      </c>
      <c r="I36" s="19">
        <f>'[7]Resumen-Total'!$J74</f>
        <v>1688.8362278034131</v>
      </c>
      <c r="J36" s="18">
        <f t="shared" si="2"/>
        <v>48.836227803413067</v>
      </c>
      <c r="K36" s="20"/>
      <c r="L36" s="20"/>
      <c r="N36" s="28">
        <f t="shared" si="3"/>
        <v>0</v>
      </c>
      <c r="O36" s="28">
        <f t="shared" si="3"/>
        <v>0</v>
      </c>
      <c r="P36" s="35">
        <f t="shared" si="4"/>
        <v>0</v>
      </c>
      <c r="Q36" s="29">
        <f t="shared" si="5"/>
        <v>6176731.9999972936</v>
      </c>
      <c r="R36" s="29"/>
      <c r="S36" s="29">
        <f t="shared" si="6"/>
        <v>183931.88477591405</v>
      </c>
      <c r="T36" s="57">
        <f t="shared" si="7"/>
        <v>6360663.8847732078</v>
      </c>
      <c r="U36" s="39">
        <f t="shared" si="8"/>
        <v>0</v>
      </c>
      <c r="V36" s="40">
        <f t="shared" si="8"/>
        <v>0</v>
      </c>
      <c r="W36" s="40">
        <f t="shared" si="8"/>
        <v>0</v>
      </c>
      <c r="X36" s="40">
        <f t="shared" si="8"/>
        <v>0.57382265108372921</v>
      </c>
      <c r="Y36" s="40">
        <f t="shared" si="0"/>
        <v>0</v>
      </c>
      <c r="Z36" s="40">
        <f t="shared" si="0"/>
        <v>1.7087398601880129E-2</v>
      </c>
      <c r="AA36" s="41">
        <f t="shared" si="9"/>
        <v>0.59091004968560934</v>
      </c>
      <c r="AB36" s="42">
        <v>8</v>
      </c>
      <c r="AC36" s="43">
        <f t="shared" si="10"/>
        <v>0.3491746868194493</v>
      </c>
    </row>
    <row r="37" spans="1:29" x14ac:dyDescent="0.25">
      <c r="A37" s="12">
        <f t="shared" si="11"/>
        <v>2055</v>
      </c>
      <c r="B37" s="18">
        <f>[8]Inputs!$C130</f>
        <v>0</v>
      </c>
      <c r="C37" s="19">
        <f>[8]Inputs!$D130</f>
        <v>0</v>
      </c>
      <c r="D37" s="18">
        <f>[8]Inputs!$F130</f>
        <v>10620613.714818401</v>
      </c>
      <c r="E37" s="19"/>
      <c r="F37" s="18">
        <f t="shared" si="1"/>
        <v>0</v>
      </c>
      <c r="G37" s="19">
        <f>'[7]Resumen-Total'!$C75</f>
        <v>10620613.714818401</v>
      </c>
      <c r="H37" s="18">
        <f>'[7]Resumen Externa'!$I44</f>
        <v>0</v>
      </c>
      <c r="I37" s="19">
        <f>'[7]Resumen-Total'!$J75</f>
        <v>48.836227803412974</v>
      </c>
      <c r="J37" s="18">
        <f t="shared" si="2"/>
        <v>48.836227803412974</v>
      </c>
      <c r="K37" s="20"/>
      <c r="L37" s="20"/>
      <c r="N37" s="28">
        <f t="shared" si="3"/>
        <v>0</v>
      </c>
      <c r="O37" s="28">
        <f t="shared" si="3"/>
        <v>10620613.714818401</v>
      </c>
      <c r="P37" s="35">
        <f t="shared" si="4"/>
        <v>0</v>
      </c>
      <c r="Q37" s="29">
        <f t="shared" si="5"/>
        <v>0</v>
      </c>
      <c r="R37" s="29"/>
      <c r="S37" s="29">
        <f t="shared" si="6"/>
        <v>183931.8847759137</v>
      </c>
      <c r="T37" s="57">
        <f t="shared" si="7"/>
        <v>10804545.599594316</v>
      </c>
      <c r="U37" s="39">
        <f t="shared" si="8"/>
        <v>0</v>
      </c>
      <c r="V37" s="40">
        <f t="shared" si="8"/>
        <v>0.98666231884044475</v>
      </c>
      <c r="W37" s="40">
        <f t="shared" si="8"/>
        <v>0</v>
      </c>
      <c r="X37" s="40">
        <f t="shared" si="8"/>
        <v>0</v>
      </c>
      <c r="Y37" s="40">
        <f t="shared" si="0"/>
        <v>0</v>
      </c>
      <c r="Z37" s="40">
        <f t="shared" si="0"/>
        <v>1.7087398601880098E-2</v>
      </c>
      <c r="AA37" s="41">
        <f t="shared" si="9"/>
        <v>1.0037497174423249</v>
      </c>
      <c r="AB37" s="42">
        <v>8</v>
      </c>
      <c r="AC37" s="43">
        <f t="shared" si="10"/>
        <v>1.0075134952655471</v>
      </c>
    </row>
    <row r="38" spans="1:29" x14ac:dyDescent="0.25">
      <c r="A38" s="12">
        <f t="shared" si="11"/>
        <v>2056</v>
      </c>
      <c r="B38" s="18">
        <f>[8]Inputs!$C131</f>
        <v>0</v>
      </c>
      <c r="C38" s="19">
        <f>[8]Inputs!$D131</f>
        <v>0</v>
      </c>
      <c r="D38" s="18">
        <f>[8]Inputs!$F131</f>
        <v>0</v>
      </c>
      <c r="E38" s="19"/>
      <c r="F38" s="18">
        <f t="shared" si="1"/>
        <v>0</v>
      </c>
      <c r="G38" s="19">
        <f>'[7]Resumen-Total'!$C76</f>
        <v>0</v>
      </c>
      <c r="H38" s="18">
        <f>'[7]Resumen Externa'!$I45</f>
        <v>0</v>
      </c>
      <c r="I38" s="19">
        <f>'[7]Resumen-Total'!$J76</f>
        <v>48.836227803412974</v>
      </c>
      <c r="J38" s="18">
        <f t="shared" si="2"/>
        <v>48.836227803412974</v>
      </c>
      <c r="K38" s="20"/>
      <c r="L38" s="20"/>
      <c r="N38" s="28">
        <f t="shared" si="3"/>
        <v>0</v>
      </c>
      <c r="O38" s="28">
        <f t="shared" si="3"/>
        <v>0</v>
      </c>
      <c r="P38" s="35">
        <f t="shared" si="4"/>
        <v>0</v>
      </c>
      <c r="Q38" s="29">
        <f t="shared" si="5"/>
        <v>0</v>
      </c>
      <c r="R38" s="29"/>
      <c r="S38" s="29">
        <f t="shared" si="6"/>
        <v>183931.8847759137</v>
      </c>
      <c r="T38" s="57">
        <f t="shared" si="7"/>
        <v>183931.8847759137</v>
      </c>
      <c r="U38" s="39">
        <f t="shared" si="8"/>
        <v>0</v>
      </c>
      <c r="V38" s="40">
        <f t="shared" si="8"/>
        <v>0</v>
      </c>
      <c r="W38" s="40">
        <f t="shared" si="8"/>
        <v>0</v>
      </c>
      <c r="X38" s="40">
        <f t="shared" si="8"/>
        <v>0</v>
      </c>
      <c r="Y38" s="40">
        <f t="shared" si="0"/>
        <v>0</v>
      </c>
      <c r="Z38" s="40">
        <f t="shared" si="0"/>
        <v>1.7087398601880098E-2</v>
      </c>
      <c r="AA38" s="41">
        <f t="shared" si="9"/>
        <v>1.7087398601880098E-2</v>
      </c>
      <c r="AB38" s="42">
        <v>8</v>
      </c>
      <c r="AC38" s="43">
        <f t="shared" si="10"/>
        <v>2.9197919097953394E-4</v>
      </c>
    </row>
    <row r="39" spans="1:29" x14ac:dyDescent="0.25">
      <c r="A39" s="12">
        <f t="shared" si="11"/>
        <v>2057</v>
      </c>
      <c r="B39" s="18">
        <f>[8]Inputs!$C132</f>
        <v>0</v>
      </c>
      <c r="C39" s="19">
        <f>[8]Inputs!$D132</f>
        <v>0</v>
      </c>
      <c r="D39" s="18">
        <f>[8]Inputs!$F132</f>
        <v>0</v>
      </c>
      <c r="E39" s="19"/>
      <c r="F39" s="18">
        <f t="shared" si="1"/>
        <v>0</v>
      </c>
      <c r="G39" s="19">
        <f>'[7]Resumen-Total'!$C77</f>
        <v>0</v>
      </c>
      <c r="H39" s="18">
        <f>'[7]Resumen Externa'!$I46</f>
        <v>0</v>
      </c>
      <c r="I39" s="19">
        <f>'[7]Resumen-Total'!$J77</f>
        <v>48.836227803412974</v>
      </c>
      <c r="J39" s="18">
        <f t="shared" si="2"/>
        <v>48.836227803412974</v>
      </c>
      <c r="K39" s="20"/>
      <c r="L39" s="20"/>
      <c r="N39" s="28">
        <f t="shared" si="3"/>
        <v>0</v>
      </c>
      <c r="O39" s="28">
        <f t="shared" si="3"/>
        <v>0</v>
      </c>
      <c r="P39" s="35">
        <f t="shared" si="4"/>
        <v>0</v>
      </c>
      <c r="Q39" s="29">
        <f t="shared" si="5"/>
        <v>0</v>
      </c>
      <c r="R39" s="29"/>
      <c r="S39" s="29">
        <f t="shared" si="6"/>
        <v>183931.8847759137</v>
      </c>
      <c r="T39" s="57">
        <f t="shared" si="7"/>
        <v>183931.8847759137</v>
      </c>
      <c r="U39" s="39">
        <f t="shared" si="8"/>
        <v>0</v>
      </c>
      <c r="V39" s="40">
        <f t="shared" si="8"/>
        <v>0</v>
      </c>
      <c r="W39" s="40">
        <f t="shared" si="8"/>
        <v>0</v>
      </c>
      <c r="X39" s="40">
        <f t="shared" si="8"/>
        <v>0</v>
      </c>
      <c r="Y39" s="40">
        <f t="shared" si="0"/>
        <v>0</v>
      </c>
      <c r="Z39" s="40">
        <f t="shared" si="0"/>
        <v>1.7087398601880098E-2</v>
      </c>
      <c r="AA39" s="41">
        <f t="shared" si="9"/>
        <v>1.7087398601880098E-2</v>
      </c>
      <c r="AB39" s="42">
        <v>8</v>
      </c>
      <c r="AC39" s="43">
        <f t="shared" si="10"/>
        <v>2.9197919097953394E-4</v>
      </c>
    </row>
    <row r="40" spans="1:29" x14ac:dyDescent="0.25">
      <c r="A40" s="12">
        <f t="shared" si="11"/>
        <v>2058</v>
      </c>
      <c r="B40" s="18">
        <f>[8]Inputs!$C133</f>
        <v>0</v>
      </c>
      <c r="C40" s="19">
        <f>[8]Inputs!$D133</f>
        <v>10528649.5</v>
      </c>
      <c r="D40" s="18">
        <f>[8]Inputs!$F133</f>
        <v>0</v>
      </c>
      <c r="E40" s="19"/>
      <c r="F40" s="18">
        <f t="shared" si="1"/>
        <v>0</v>
      </c>
      <c r="G40" s="19">
        <f>'[7]Resumen-Total'!$C78</f>
        <v>10528649.5</v>
      </c>
      <c r="H40" s="18">
        <f>'[7]Resumen Externa'!$I47</f>
        <v>0</v>
      </c>
      <c r="I40" s="19">
        <f>'[7]Resumen-Total'!$J78</f>
        <v>48.836227803412974</v>
      </c>
      <c r="J40" s="18">
        <f t="shared" si="2"/>
        <v>48.836227803412974</v>
      </c>
      <c r="K40" s="20"/>
      <c r="L40" s="20"/>
      <c r="N40" s="28">
        <f t="shared" si="3"/>
        <v>10528649.5</v>
      </c>
      <c r="O40" s="28">
        <f t="shared" si="3"/>
        <v>0</v>
      </c>
      <c r="P40" s="35">
        <f t="shared" si="4"/>
        <v>0</v>
      </c>
      <c r="Q40" s="29">
        <f t="shared" si="5"/>
        <v>0</v>
      </c>
      <c r="R40" s="29"/>
      <c r="S40" s="29">
        <f t="shared" si="6"/>
        <v>183931.8847759137</v>
      </c>
      <c r="T40" s="57">
        <f t="shared" si="7"/>
        <v>10712581.384775914</v>
      </c>
      <c r="U40" s="39">
        <f t="shared" si="8"/>
        <v>0.97811878003190478</v>
      </c>
      <c r="V40" s="40">
        <f t="shared" si="8"/>
        <v>0</v>
      </c>
      <c r="W40" s="40">
        <f t="shared" si="8"/>
        <v>0</v>
      </c>
      <c r="X40" s="40">
        <f t="shared" si="8"/>
        <v>0</v>
      </c>
      <c r="Y40" s="40">
        <f t="shared" si="0"/>
        <v>0</v>
      </c>
      <c r="Z40" s="40">
        <f t="shared" si="0"/>
        <v>1.7087398601880098E-2</v>
      </c>
      <c r="AA40" s="41">
        <f t="shared" si="9"/>
        <v>0.99520617863378491</v>
      </c>
      <c r="AB40" s="42">
        <v>8</v>
      </c>
      <c r="AC40" s="43">
        <f t="shared" si="10"/>
        <v>0.99043533799086103</v>
      </c>
    </row>
    <row r="41" spans="1:29" x14ac:dyDescent="0.25">
      <c r="A41" s="12">
        <f t="shared" si="11"/>
        <v>2059</v>
      </c>
      <c r="B41" s="18">
        <f>[8]Inputs!$C134</f>
        <v>0</v>
      </c>
      <c r="C41" s="19">
        <f>[8]Inputs!$D134</f>
        <v>0</v>
      </c>
      <c r="D41" s="18">
        <f>[8]Inputs!$F134</f>
        <v>0</v>
      </c>
      <c r="E41" s="19"/>
      <c r="F41" s="18">
        <f t="shared" si="1"/>
        <v>0</v>
      </c>
      <c r="G41" s="19">
        <f>'[7]Resumen-Total'!$C79</f>
        <v>0</v>
      </c>
      <c r="H41" s="18">
        <f>'[7]Resumen Externa'!$I48</f>
        <v>0</v>
      </c>
      <c r="I41" s="19">
        <f>'[7]Resumen-Total'!$J79</f>
        <v>35.893523737772064</v>
      </c>
      <c r="J41" s="18">
        <f t="shared" si="2"/>
        <v>35.893523737772064</v>
      </c>
      <c r="K41" s="20"/>
      <c r="L41" s="20"/>
      <c r="N41" s="28">
        <f t="shared" si="3"/>
        <v>0</v>
      </c>
      <c r="O41" s="28">
        <f t="shared" si="3"/>
        <v>0</v>
      </c>
      <c r="P41" s="35">
        <f t="shared" si="4"/>
        <v>0</v>
      </c>
      <c r="Q41" s="29">
        <f t="shared" si="5"/>
        <v>0</v>
      </c>
      <c r="R41" s="29"/>
      <c r="S41" s="29">
        <f t="shared" si="6"/>
        <v>135185.77845351171</v>
      </c>
      <c r="T41" s="57">
        <f t="shared" si="7"/>
        <v>135185.77845351171</v>
      </c>
      <c r="U41" s="39">
        <f t="shared" si="8"/>
        <v>0</v>
      </c>
      <c r="V41" s="40">
        <f t="shared" si="8"/>
        <v>0</v>
      </c>
      <c r="W41" s="40">
        <f t="shared" si="8"/>
        <v>0</v>
      </c>
      <c r="X41" s="40">
        <f t="shared" si="8"/>
        <v>0</v>
      </c>
      <c r="Y41" s="40">
        <f t="shared" si="0"/>
        <v>0</v>
      </c>
      <c r="Z41" s="40">
        <f t="shared" si="0"/>
        <v>1.2558851797527521E-2</v>
      </c>
      <c r="AA41" s="41">
        <f t="shared" si="9"/>
        <v>1.2558851797527521E-2</v>
      </c>
      <c r="AB41" s="42">
        <v>8</v>
      </c>
      <c r="AC41" s="43">
        <f t="shared" si="10"/>
        <v>1.5772475847226024E-4</v>
      </c>
    </row>
    <row r="42" spans="1:29" x14ac:dyDescent="0.25">
      <c r="A42" s="12">
        <f t="shared" si="11"/>
        <v>2060</v>
      </c>
      <c r="B42" s="18">
        <f>[8]Inputs!$C135</f>
        <v>0</v>
      </c>
      <c r="C42" s="19">
        <f>[8]Inputs!$D135</f>
        <v>0</v>
      </c>
      <c r="D42" s="18">
        <f>[8]Inputs!$F135</f>
        <v>0</v>
      </c>
      <c r="E42" s="19"/>
      <c r="F42" s="18">
        <f t="shared" si="1"/>
        <v>0</v>
      </c>
      <c r="G42" s="19">
        <f>'[7]Resumen-Total'!$C80</f>
        <v>0</v>
      </c>
      <c r="H42" s="18">
        <f>'[7]Resumen Externa'!$I49</f>
        <v>0</v>
      </c>
      <c r="I42" s="19">
        <f>'[7]Resumen-Total'!$J80</f>
        <v>0</v>
      </c>
      <c r="J42" s="18">
        <f t="shared" si="2"/>
        <v>0</v>
      </c>
      <c r="K42" s="20"/>
      <c r="L42" s="20"/>
      <c r="N42" s="28">
        <f t="shared" si="3"/>
        <v>0</v>
      </c>
      <c r="O42" s="28">
        <f t="shared" si="3"/>
        <v>0</v>
      </c>
      <c r="P42" s="35">
        <f t="shared" si="4"/>
        <v>0</v>
      </c>
      <c r="Q42" s="29">
        <f t="shared" si="5"/>
        <v>0</v>
      </c>
      <c r="R42" s="29"/>
      <c r="S42" s="29">
        <f t="shared" si="6"/>
        <v>0</v>
      </c>
      <c r="T42" s="57">
        <f t="shared" si="7"/>
        <v>0</v>
      </c>
      <c r="U42" s="39">
        <f t="shared" si="8"/>
        <v>0</v>
      </c>
      <c r="V42" s="40">
        <f t="shared" si="8"/>
        <v>0</v>
      </c>
      <c r="W42" s="40">
        <f t="shared" si="8"/>
        <v>0</v>
      </c>
      <c r="X42" s="40">
        <f t="shared" si="8"/>
        <v>0</v>
      </c>
      <c r="Y42" s="40">
        <f t="shared" si="0"/>
        <v>0</v>
      </c>
      <c r="Z42" s="40">
        <f t="shared" si="0"/>
        <v>0</v>
      </c>
      <c r="AA42" s="41">
        <f t="shared" si="9"/>
        <v>0</v>
      </c>
      <c r="AB42" s="42">
        <v>8</v>
      </c>
      <c r="AC42" s="43">
        <f t="shared" si="10"/>
        <v>0</v>
      </c>
    </row>
    <row r="43" spans="1:29" x14ac:dyDescent="0.25">
      <c r="A43" s="12">
        <f t="shared" si="11"/>
        <v>2061</v>
      </c>
      <c r="B43" s="18">
        <f>[8]Inputs!$C136</f>
        <v>0</v>
      </c>
      <c r="C43" s="19">
        <f>[8]Inputs!$D136</f>
        <v>0</v>
      </c>
      <c r="D43" s="18">
        <f>[8]Inputs!$F136</f>
        <v>0</v>
      </c>
      <c r="E43" s="19"/>
      <c r="F43" s="18">
        <f t="shared" si="1"/>
        <v>0</v>
      </c>
      <c r="G43" s="19">
        <f>'[7]Resumen-Total'!$C81</f>
        <v>0</v>
      </c>
      <c r="H43" s="18">
        <f>'[7]Resumen Externa'!$I50</f>
        <v>751.83500000000004</v>
      </c>
      <c r="I43" s="19">
        <f>'[7]Resumen-Total'!$J81</f>
        <v>751.83500000000004</v>
      </c>
      <c r="J43" s="18">
        <f t="shared" si="2"/>
        <v>0</v>
      </c>
      <c r="K43" s="20"/>
      <c r="L43" s="20"/>
      <c r="N43" s="28">
        <f t="shared" si="3"/>
        <v>0</v>
      </c>
      <c r="O43" s="28">
        <f t="shared" si="3"/>
        <v>0</v>
      </c>
      <c r="P43" s="35">
        <f t="shared" si="4"/>
        <v>0</v>
      </c>
      <c r="Q43" s="29">
        <f t="shared" si="5"/>
        <v>2831636.1604987597</v>
      </c>
      <c r="R43" s="29"/>
      <c r="S43" s="29">
        <f t="shared" si="6"/>
        <v>0</v>
      </c>
      <c r="T43" s="57">
        <f t="shared" si="7"/>
        <v>2831636.1604987597</v>
      </c>
      <c r="U43" s="39">
        <f t="shared" si="8"/>
        <v>0</v>
      </c>
      <c r="V43" s="40">
        <f t="shared" si="8"/>
        <v>0</v>
      </c>
      <c r="W43" s="40">
        <f t="shared" si="8"/>
        <v>0</v>
      </c>
      <c r="X43" s="40">
        <f t="shared" si="8"/>
        <v>0.26306094687654608</v>
      </c>
      <c r="Y43" s="40">
        <f t="shared" si="0"/>
        <v>0</v>
      </c>
      <c r="Z43" s="40">
        <f t="shared" si="0"/>
        <v>0</v>
      </c>
      <c r="AA43" s="41">
        <f t="shared" si="9"/>
        <v>0.26306094687654608</v>
      </c>
      <c r="AB43" s="42">
        <v>8</v>
      </c>
      <c r="AC43" s="43">
        <f t="shared" si="10"/>
        <v>6.9201061771584998E-2</v>
      </c>
    </row>
    <row r="44" spans="1:29" x14ac:dyDescent="0.25">
      <c r="A44" s="12">
        <f t="shared" si="11"/>
        <v>2062</v>
      </c>
      <c r="B44" s="18">
        <f>[8]Inputs!$C137</f>
        <v>0</v>
      </c>
      <c r="C44" s="19">
        <f>[8]Inputs!$D137</f>
        <v>0</v>
      </c>
      <c r="D44" s="18">
        <f>[8]Inputs!$F137</f>
        <v>21126848.3510844</v>
      </c>
      <c r="E44" s="19"/>
      <c r="F44" s="18">
        <f t="shared" si="1"/>
        <v>0</v>
      </c>
      <c r="G44" s="19">
        <f>'[7]Resumen-Total'!$C82</f>
        <v>21126848.3510844</v>
      </c>
      <c r="H44" s="18"/>
      <c r="I44" s="19"/>
      <c r="J44" s="18">
        <f t="shared" si="2"/>
        <v>0</v>
      </c>
      <c r="K44" s="20"/>
      <c r="L44" s="20"/>
      <c r="N44" s="28">
        <f t="shared" si="3"/>
        <v>0</v>
      </c>
      <c r="O44" s="28">
        <f t="shared" si="3"/>
        <v>21126848.3510844</v>
      </c>
      <c r="P44" s="35">
        <f t="shared" si="4"/>
        <v>0</v>
      </c>
      <c r="Q44" s="29">
        <f t="shared" si="5"/>
        <v>0</v>
      </c>
      <c r="R44" s="29"/>
      <c r="S44" s="29">
        <f t="shared" si="6"/>
        <v>0</v>
      </c>
      <c r="T44" s="57">
        <f t="shared" si="7"/>
        <v>21126848.3510844</v>
      </c>
      <c r="U44" s="39">
        <f t="shared" si="8"/>
        <v>0</v>
      </c>
      <c r="V44" s="40">
        <f t="shared" si="8"/>
        <v>1.9626987426147799</v>
      </c>
      <c r="W44" s="40">
        <f t="shared" si="8"/>
        <v>0</v>
      </c>
      <c r="X44" s="40">
        <f t="shared" si="8"/>
        <v>0</v>
      </c>
      <c r="Y44" s="40">
        <f t="shared" si="0"/>
        <v>0</v>
      </c>
      <c r="Z44" s="40">
        <f t="shared" si="0"/>
        <v>0</v>
      </c>
      <c r="AA44" s="41">
        <f t="shared" si="9"/>
        <v>1.9626987426147799</v>
      </c>
      <c r="AB44" s="42">
        <v>8</v>
      </c>
      <c r="AC44" s="43">
        <f t="shared" si="10"/>
        <v>3.8521863542616384</v>
      </c>
    </row>
    <row r="45" spans="1:29" x14ac:dyDescent="0.25">
      <c r="A45" s="12"/>
      <c r="B45" s="18"/>
      <c r="C45" s="19"/>
      <c r="D45" s="18"/>
      <c r="E45" s="19"/>
      <c r="F45" s="18"/>
      <c r="G45" s="19"/>
      <c r="H45" s="18"/>
      <c r="I45" s="19"/>
      <c r="J45" s="18"/>
      <c r="K45" s="20"/>
      <c r="L45" s="20"/>
      <c r="N45" s="28">
        <f t="shared" ref="N45:O47" si="12">C45</f>
        <v>0</v>
      </c>
      <c r="O45" s="28">
        <f t="shared" si="12"/>
        <v>0</v>
      </c>
      <c r="P45" s="35">
        <f t="shared" si="4"/>
        <v>0</v>
      </c>
      <c r="Q45" s="29">
        <f t="shared" si="5"/>
        <v>0</v>
      </c>
      <c r="R45" s="29"/>
      <c r="S45" s="29">
        <f t="shared" si="6"/>
        <v>0</v>
      </c>
      <c r="T45" s="57"/>
      <c r="U45" s="39">
        <f t="shared" ref="U45:X47" si="13">(N45/$S$3)*100</f>
        <v>0</v>
      </c>
      <c r="V45" s="40">
        <f t="shared" si="13"/>
        <v>0</v>
      </c>
      <c r="W45" s="40">
        <f t="shared" si="13"/>
        <v>0</v>
      </c>
      <c r="X45" s="40">
        <f t="shared" si="13"/>
        <v>0</v>
      </c>
      <c r="Y45" s="40">
        <f t="shared" si="0"/>
        <v>0</v>
      </c>
      <c r="Z45" s="40">
        <f t="shared" si="0"/>
        <v>0</v>
      </c>
      <c r="AA45" s="41">
        <f t="shared" si="9"/>
        <v>0</v>
      </c>
      <c r="AB45" s="42">
        <v>8</v>
      </c>
      <c r="AC45" s="43">
        <f t="shared" si="10"/>
        <v>0</v>
      </c>
    </row>
    <row r="46" spans="1:29" x14ac:dyDescent="0.25">
      <c r="A46" s="12"/>
      <c r="B46" s="18"/>
      <c r="C46" s="19"/>
      <c r="D46" s="18"/>
      <c r="E46" s="19"/>
      <c r="F46" s="18"/>
      <c r="G46" s="19"/>
      <c r="H46" s="18"/>
      <c r="I46" s="19"/>
      <c r="J46" s="18"/>
      <c r="K46" s="20"/>
      <c r="L46" s="20"/>
      <c r="N46" s="28">
        <f t="shared" si="12"/>
        <v>0</v>
      </c>
      <c r="O46" s="28">
        <f t="shared" si="12"/>
        <v>0</v>
      </c>
      <c r="P46" s="35">
        <f t="shared" si="4"/>
        <v>0</v>
      </c>
      <c r="Q46" s="29">
        <f t="shared" si="5"/>
        <v>0</v>
      </c>
      <c r="R46" s="29"/>
      <c r="S46" s="29">
        <f t="shared" si="6"/>
        <v>0</v>
      </c>
      <c r="T46" s="57"/>
      <c r="U46" s="39">
        <f t="shared" si="13"/>
        <v>0</v>
      </c>
      <c r="V46" s="40">
        <f t="shared" si="13"/>
        <v>0</v>
      </c>
      <c r="W46" s="40">
        <f t="shared" si="13"/>
        <v>0</v>
      </c>
      <c r="X46" s="40">
        <f t="shared" si="13"/>
        <v>0</v>
      </c>
      <c r="Y46" s="40">
        <f t="shared" si="0"/>
        <v>0</v>
      </c>
      <c r="Z46" s="40">
        <f t="shared" si="0"/>
        <v>0</v>
      </c>
      <c r="AA46" s="41">
        <f t="shared" si="9"/>
        <v>0</v>
      </c>
      <c r="AB46" s="42">
        <v>8</v>
      </c>
      <c r="AC46" s="43">
        <f t="shared" si="10"/>
        <v>0</v>
      </c>
    </row>
    <row r="47" spans="1:29" x14ac:dyDescent="0.25">
      <c r="A47" s="12"/>
      <c r="B47" s="18"/>
      <c r="C47" s="19"/>
      <c r="D47" s="18"/>
      <c r="E47" s="19"/>
      <c r="F47" s="18"/>
      <c r="G47" s="19"/>
      <c r="H47" s="18"/>
      <c r="I47" s="19"/>
      <c r="J47" s="18"/>
      <c r="K47" s="20"/>
      <c r="L47" s="20"/>
      <c r="N47" s="28">
        <f t="shared" si="12"/>
        <v>0</v>
      </c>
      <c r="O47" s="28">
        <f t="shared" si="12"/>
        <v>0</v>
      </c>
      <c r="P47" s="35">
        <f t="shared" si="4"/>
        <v>0</v>
      </c>
      <c r="Q47" s="29">
        <f t="shared" si="5"/>
        <v>0</v>
      </c>
      <c r="R47" s="29"/>
      <c r="S47" s="29">
        <f t="shared" si="6"/>
        <v>0</v>
      </c>
      <c r="T47" s="57"/>
      <c r="U47" s="39">
        <f t="shared" si="13"/>
        <v>0</v>
      </c>
      <c r="V47" s="40">
        <f t="shared" si="13"/>
        <v>0</v>
      </c>
      <c r="W47" s="40">
        <f t="shared" si="13"/>
        <v>0</v>
      </c>
      <c r="X47" s="40">
        <f t="shared" si="13"/>
        <v>0</v>
      </c>
      <c r="Y47" s="40">
        <f t="shared" si="0"/>
        <v>0</v>
      </c>
      <c r="Z47" s="40">
        <f t="shared" si="0"/>
        <v>0</v>
      </c>
      <c r="AA47" s="41">
        <f t="shared" si="9"/>
        <v>0</v>
      </c>
      <c r="AB47" s="42">
        <v>8</v>
      </c>
      <c r="AC47" s="43">
        <f t="shared" si="10"/>
        <v>0</v>
      </c>
    </row>
    <row r="48" spans="1:29" x14ac:dyDescent="0.25">
      <c r="A48" s="12"/>
      <c r="B48" s="18"/>
      <c r="C48" s="19"/>
      <c r="D48" s="18"/>
      <c r="E48" s="19"/>
      <c r="F48" s="18"/>
      <c r="G48" s="19"/>
      <c r="H48" s="18"/>
      <c r="I48" s="19"/>
      <c r="J48" s="18"/>
      <c r="K48" s="20"/>
      <c r="L48" s="20"/>
      <c r="N48" s="28"/>
      <c r="O48" s="28"/>
      <c r="P48" s="35"/>
      <c r="Q48" s="29"/>
      <c r="R48" s="29"/>
      <c r="S48" s="29"/>
      <c r="T48" s="57"/>
      <c r="U48" s="39"/>
      <c r="V48" s="40"/>
      <c r="W48" s="40"/>
      <c r="X48" s="40"/>
      <c r="Y48" s="40"/>
      <c r="Z48" s="40"/>
      <c r="AA48" s="41"/>
      <c r="AB48" s="42"/>
      <c r="AC48" s="43"/>
    </row>
    <row r="49" spans="1:29" x14ac:dyDescent="0.25">
      <c r="A49" s="12"/>
      <c r="B49" s="18"/>
      <c r="C49" s="19"/>
      <c r="D49" s="18"/>
      <c r="E49" s="19"/>
      <c r="F49" s="18"/>
      <c r="G49" s="19"/>
      <c r="H49" s="18"/>
      <c r="I49" s="19"/>
      <c r="J49" s="18"/>
      <c r="K49" s="20"/>
      <c r="L49" s="20"/>
      <c r="N49" s="28"/>
      <c r="O49" s="28"/>
      <c r="P49" s="35"/>
      <c r="Q49" s="29"/>
      <c r="R49" s="29"/>
      <c r="S49" s="29"/>
      <c r="T49" s="1"/>
      <c r="U49" s="39"/>
      <c r="V49" s="40"/>
      <c r="W49" s="40"/>
      <c r="X49" s="40"/>
      <c r="Y49" s="40"/>
      <c r="Z49" s="40"/>
      <c r="AA49" s="41"/>
      <c r="AB49" s="42"/>
      <c r="AC49" s="43"/>
    </row>
    <row r="50" spans="1:29" x14ac:dyDescent="0.25">
      <c r="A50" s="13"/>
      <c r="B50" s="21"/>
      <c r="C50" s="22"/>
      <c r="D50" s="21"/>
      <c r="E50" s="22"/>
      <c r="F50" s="21"/>
      <c r="G50" s="22"/>
      <c r="H50" s="21"/>
      <c r="I50" s="22"/>
      <c r="J50" s="21"/>
      <c r="K50" s="23"/>
      <c r="L50" s="23"/>
      <c r="N50" s="30"/>
      <c r="O50" s="30"/>
      <c r="P50" s="36"/>
      <c r="Q50" s="31"/>
      <c r="R50" s="31"/>
      <c r="S50" s="31"/>
      <c r="T50" s="1"/>
      <c r="U50" s="44"/>
      <c r="V50" s="45"/>
      <c r="W50" s="45"/>
      <c r="X50" s="45"/>
      <c r="Y50" s="45"/>
      <c r="Z50" s="45"/>
      <c r="AA50" s="46"/>
      <c r="AB50" s="47"/>
      <c r="AC50" s="48"/>
    </row>
    <row r="51" spans="1:29" x14ac:dyDescent="0.25">
      <c r="N51" s="54"/>
      <c r="T51" s="1"/>
    </row>
    <row r="52" spans="1:29" x14ac:dyDescent="0.25">
      <c r="E52" s="55"/>
      <c r="G52" s="56"/>
      <c r="AC52" s="4"/>
    </row>
    <row r="53" spans="1:29" x14ac:dyDescent="0.25">
      <c r="F53" s="55"/>
    </row>
    <row r="54" spans="1:29" x14ac:dyDescent="0.25">
      <c r="F54" s="56"/>
    </row>
    <row r="55" spans="1:29" x14ac:dyDescent="0.25">
      <c r="F55" s="56"/>
    </row>
    <row r="56" spans="1:29" x14ac:dyDescent="0.25">
      <c r="F56" s="56"/>
    </row>
  </sheetData>
  <mergeCells count="2">
    <mergeCell ref="A1:L2"/>
    <mergeCell ref="N1:S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3]!Ubicación_Archivo">
                <anchor moveWithCells="1" sizeWithCells="1">
                  <from>
                    <xdr:col>8</xdr:col>
                    <xdr:colOff>95250</xdr:colOff>
                    <xdr:row>0</xdr:row>
                    <xdr:rowOff>114300</xdr:rowOff>
                  </from>
                  <to>
                    <xdr:col>8</xdr:col>
                    <xdr:colOff>1609725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3]!Ubicación_Archivo">
                <anchor moveWithCells="1" sizeWithCells="1">
                  <from>
                    <xdr:col>8</xdr:col>
                    <xdr:colOff>95250</xdr:colOff>
                    <xdr:row>0</xdr:row>
                    <xdr:rowOff>114300</xdr:rowOff>
                  </from>
                  <to>
                    <xdr:col>8</xdr:col>
                    <xdr:colOff>1609725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EA6E5-0730-4AAE-9A4E-8E113AA784C8}">
  <dimension ref="A1:AR56"/>
  <sheetViews>
    <sheetView tabSelected="1" topLeftCell="R8" zoomScale="55" zoomScaleNormal="55" workbookViewId="0">
      <selection activeCell="AC66" sqref="AC66"/>
    </sheetView>
  </sheetViews>
  <sheetFormatPr baseColWidth="10" defaultColWidth="11.42578125" defaultRowHeight="15" x14ac:dyDescent="0.25"/>
  <cols>
    <col min="1" max="1" width="10.7109375" style="2" customWidth="1"/>
    <col min="2" max="2" width="17.7109375" style="1" bestFit="1" customWidth="1"/>
    <col min="3" max="4" width="17.42578125" style="1" bestFit="1" customWidth="1"/>
    <col min="5" max="5" width="18.5703125" style="1" bestFit="1" customWidth="1"/>
    <col min="6" max="6" width="18.140625" style="1" bestFit="1" customWidth="1"/>
    <col min="7" max="7" width="17.85546875" style="1" bestFit="1" customWidth="1"/>
    <col min="8" max="8" width="23.7109375" style="1" bestFit="1" customWidth="1"/>
    <col min="9" max="9" width="16.42578125" style="1" bestFit="1" customWidth="1"/>
    <col min="10" max="10" width="29" style="1" bestFit="1" customWidth="1"/>
    <col min="11" max="11" width="29" style="1" customWidth="1"/>
    <col min="12" max="12" width="17.42578125" style="1" bestFit="1" customWidth="1"/>
    <col min="13" max="13" width="6.7109375" style="1" customWidth="1"/>
    <col min="14" max="14" width="14.140625" style="2" bestFit="1" customWidth="1"/>
    <col min="15" max="15" width="13.5703125" style="2" bestFit="1" customWidth="1"/>
    <col min="16" max="16" width="16.7109375" style="2" bestFit="1" customWidth="1"/>
    <col min="17" max="17" width="19" style="2" bestFit="1" customWidth="1"/>
    <col min="18" max="18" width="19" style="2" customWidth="1"/>
    <col min="19" max="19" width="29" style="2" bestFit="1" customWidth="1"/>
    <col min="20" max="20" width="18.85546875" style="3" bestFit="1" customWidth="1"/>
    <col min="21" max="21" width="30.28515625" style="2" bestFit="1" customWidth="1"/>
    <col min="22" max="22" width="15.140625" style="2" bestFit="1" customWidth="1"/>
    <col min="23" max="23" width="22.5703125" style="2" bestFit="1" customWidth="1"/>
    <col min="24" max="24" width="25.140625" style="2" bestFit="1" customWidth="1"/>
    <col min="25" max="25" width="8.28515625" style="2" bestFit="1" customWidth="1"/>
    <col min="26" max="26" width="24.5703125" style="2" bestFit="1" customWidth="1"/>
    <col min="27" max="27" width="9.5703125" style="2" bestFit="1" customWidth="1"/>
    <col min="28" max="28" width="29.7109375" style="2" bestFit="1" customWidth="1"/>
    <col min="29" max="29" width="9" style="1" bestFit="1" customWidth="1"/>
    <col min="30" max="16384" width="11.42578125" style="1"/>
  </cols>
  <sheetData>
    <row r="1" spans="1:44" ht="24.75" customHeight="1" x14ac:dyDescent="0.25">
      <c r="A1" s="63" t="s">
        <v>17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N1" s="64" t="s">
        <v>18</v>
      </c>
      <c r="O1" s="64"/>
      <c r="P1" s="64"/>
      <c r="Q1" s="64"/>
      <c r="R1" s="64"/>
      <c r="S1" s="64"/>
      <c r="T1" s="59"/>
      <c r="U1" s="60"/>
      <c r="AR1" s="1" t="s">
        <v>21</v>
      </c>
    </row>
    <row r="2" spans="1:44" ht="21" customHeight="1" x14ac:dyDescent="0.25">
      <c r="A2" s="63"/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N2" s="64"/>
      <c r="O2" s="64"/>
      <c r="P2" s="64"/>
      <c r="Q2" s="64"/>
      <c r="R2" s="64"/>
      <c r="S2" s="64"/>
      <c r="T2" s="59" t="s">
        <v>23</v>
      </c>
      <c r="U2" s="60" t="s">
        <v>24</v>
      </c>
    </row>
    <row r="3" spans="1:44" ht="18" customHeight="1" thickBot="1" x14ac:dyDescent="0.35">
      <c r="A3" s="7" t="s">
        <v>12</v>
      </c>
      <c r="B3" s="8">
        <v>46112</v>
      </c>
      <c r="C3" s="5"/>
      <c r="D3" s="5"/>
      <c r="E3" s="7" t="s">
        <v>13</v>
      </c>
      <c r="F3" s="38">
        <f>'[1]Resumen-Total'!$E$11</f>
        <v>3669.9600000663627</v>
      </c>
      <c r="G3" s="58"/>
      <c r="H3" s="5"/>
      <c r="I3" s="1" t="s">
        <v>25</v>
      </c>
      <c r="J3" s="62">
        <f>'[1]Resumen Interna'!$C$25</f>
        <v>30461147.964857396</v>
      </c>
      <c r="K3" s="61"/>
      <c r="N3" s="1"/>
      <c r="O3" s="1"/>
      <c r="P3" s="1"/>
      <c r="Q3" s="6" t="s">
        <v>5</v>
      </c>
      <c r="R3" s="6"/>
      <c r="S3" s="37">
        <f>SUM(N8:S45)</f>
        <v>1058239266.9153348</v>
      </c>
      <c r="T3" s="37">
        <f>+B8+B9+L8+J3+J5</f>
        <v>157229397.13885754</v>
      </c>
      <c r="U3" s="37">
        <f>T3+S3</f>
        <v>1215468664.0541923</v>
      </c>
    </row>
    <row r="4" spans="1:44" ht="1.5" customHeight="1" thickTop="1" x14ac:dyDescent="0.25">
      <c r="B4" s="1" t="s">
        <v>21</v>
      </c>
      <c r="J4" s="62"/>
      <c r="K4" s="1" t="s">
        <v>26</v>
      </c>
      <c r="N4" s="1"/>
      <c r="O4" s="1"/>
      <c r="P4" s="1"/>
    </row>
    <row r="5" spans="1:44" ht="15" customHeight="1" x14ac:dyDescent="0.25">
      <c r="E5" s="55"/>
      <c r="I5" s="1" t="s">
        <v>26</v>
      </c>
      <c r="J5" s="62">
        <f>'[1]Resumen Interna'!$C$26</f>
        <v>8852660.5672061406</v>
      </c>
      <c r="S5" s="54"/>
    </row>
    <row r="6" spans="1:44" s="17" customFormat="1" ht="37.5" x14ac:dyDescent="0.25">
      <c r="A6" s="24" t="s">
        <v>15</v>
      </c>
      <c r="B6" s="25" t="s">
        <v>6</v>
      </c>
      <c r="C6" s="26" t="s">
        <v>0</v>
      </c>
      <c r="D6" s="25" t="s">
        <v>1</v>
      </c>
      <c r="E6" s="26" t="s">
        <v>9</v>
      </c>
      <c r="F6" s="25" t="s">
        <v>10</v>
      </c>
      <c r="G6" s="26" t="s">
        <v>11</v>
      </c>
      <c r="H6" s="25" t="s">
        <v>2</v>
      </c>
      <c r="I6" s="26" t="s">
        <v>7</v>
      </c>
      <c r="J6" s="25" t="s">
        <v>3</v>
      </c>
      <c r="K6" s="27" t="s">
        <v>22</v>
      </c>
      <c r="L6" s="27" t="s">
        <v>16</v>
      </c>
      <c r="M6" s="15"/>
      <c r="N6" s="32" t="s">
        <v>0</v>
      </c>
      <c r="O6" s="32" t="s">
        <v>1</v>
      </c>
      <c r="P6" s="34" t="s">
        <v>10</v>
      </c>
      <c r="Q6" s="33" t="s">
        <v>2</v>
      </c>
      <c r="R6" s="33" t="s">
        <v>22</v>
      </c>
      <c r="S6" s="33" t="s">
        <v>3</v>
      </c>
      <c r="T6" s="16"/>
      <c r="U6" s="49" t="s">
        <v>0</v>
      </c>
      <c r="V6" s="50" t="s">
        <v>1</v>
      </c>
      <c r="W6" s="51" t="s">
        <v>14</v>
      </c>
      <c r="X6" s="50" t="s">
        <v>2</v>
      </c>
      <c r="Y6" s="50" t="s">
        <v>22</v>
      </c>
      <c r="Z6" s="50" t="s">
        <v>20</v>
      </c>
      <c r="AA6" s="50" t="s">
        <v>8</v>
      </c>
      <c r="AB6" s="53" t="s">
        <v>19</v>
      </c>
      <c r="AC6" s="52" t="s">
        <v>4</v>
      </c>
    </row>
    <row r="7" spans="1:44" ht="18.75" customHeight="1" x14ac:dyDescent="0.25">
      <c r="A7" s="11"/>
      <c r="B7" s="14"/>
      <c r="C7" s="9"/>
      <c r="D7" s="14"/>
      <c r="E7" s="9"/>
      <c r="F7" s="14"/>
      <c r="G7" s="9"/>
      <c r="H7" s="14"/>
      <c r="I7" s="9"/>
      <c r="J7" s="14"/>
      <c r="K7" s="10"/>
      <c r="L7" s="10"/>
      <c r="N7" s="28"/>
      <c r="O7" s="28"/>
      <c r="P7" s="35"/>
      <c r="Q7" s="29"/>
      <c r="R7" s="29"/>
      <c r="S7" s="29"/>
      <c r="T7" s="1"/>
      <c r="U7" s="39"/>
      <c r="V7" s="40"/>
      <c r="W7" s="40"/>
      <c r="X7" s="40"/>
      <c r="Y7" s="40"/>
      <c r="Z7" s="40"/>
      <c r="AA7" s="41"/>
      <c r="AB7" s="42"/>
      <c r="AC7" s="43"/>
    </row>
    <row r="8" spans="1:44" x14ac:dyDescent="0.25">
      <c r="A8" s="12">
        <v>2026</v>
      </c>
      <c r="B8" s="18">
        <f>[2]Inputs!$C101</f>
        <v>42422328.199999996</v>
      </c>
      <c r="C8" s="19">
        <f>[2]Inputs!$D101</f>
        <v>5437275.2999999998</v>
      </c>
      <c r="D8" s="18">
        <f>[2]Inputs!$F101</f>
        <v>0</v>
      </c>
      <c r="E8" s="19">
        <f>'[1]Resumen Interna'!$C$24</f>
        <v>9741703.4000000004</v>
      </c>
      <c r="F8" s="18">
        <f>G8-B8-C8-D8-E8-L8-J3-J5</f>
        <v>40868.136018000543</v>
      </c>
      <c r="G8" s="19">
        <f>'[1]Resumen-Total'!$C46</f>
        <v>163991644.17487553</v>
      </c>
      <c r="H8" s="18">
        <f>'[1]Resumen Externa'!$I15</f>
        <v>0</v>
      </c>
      <c r="I8" s="19">
        <f>'[1]Resumen-Total'!$J46</f>
        <v>8631.3241764326558</v>
      </c>
      <c r="J8" s="18">
        <f>I8-H8-K8</f>
        <v>1167.7923576646344</v>
      </c>
      <c r="K8" s="20">
        <f>'[1]Resumen-Total'!$K$31</f>
        <v>7463.5318187680214</v>
      </c>
      <c r="L8" s="20">
        <f>'[1]Resumen Interna'!$C$23</f>
        <v>67035660.606794</v>
      </c>
      <c r="N8" s="28">
        <f>C8</f>
        <v>5437275.2999999998</v>
      </c>
      <c r="O8" s="28">
        <f>D8</f>
        <v>0</v>
      </c>
      <c r="P8" s="35">
        <f>F8</f>
        <v>40868.136018000543</v>
      </c>
      <c r="Q8" s="29">
        <f>H8*$F$3</f>
        <v>0</v>
      </c>
      <c r="R8" s="29">
        <f>K8*F3</f>
        <v>27390863.234101187</v>
      </c>
      <c r="S8" s="29">
        <f>J8*$F$3</f>
        <v>4285751.2410124</v>
      </c>
      <c r="T8" s="57">
        <f>SUM(N8:S8)</f>
        <v>37154757.911131591</v>
      </c>
      <c r="U8" s="39">
        <f>(N8/$S$3)*100</f>
        <v>0.51380396380953919</v>
      </c>
      <c r="V8" s="40">
        <f>(O8/$S$3)*100</f>
        <v>0</v>
      </c>
      <c r="W8" s="40">
        <f>(P8/$S$3)*100</f>
        <v>3.8618994111914982E-3</v>
      </c>
      <c r="X8" s="40">
        <f>(Q8/$S$3)*100</f>
        <v>0</v>
      </c>
      <c r="Y8" s="40">
        <f t="shared" ref="Y8:Z47" si="0">(R8/$S$3)*100</f>
        <v>2.5883431177093725</v>
      </c>
      <c r="Z8" s="40">
        <f>(S8/$S$3)*100</f>
        <v>0.40498886924740102</v>
      </c>
      <c r="AA8" s="41">
        <f>SUM(U8:Z8)</f>
        <v>3.5109978501775045</v>
      </c>
      <c r="AB8" s="42">
        <v>8</v>
      </c>
      <c r="AC8" s="43">
        <f>AA8^2</f>
        <v>12.327105903951059</v>
      </c>
    </row>
    <row r="9" spans="1:44" x14ac:dyDescent="0.25">
      <c r="A9" s="12">
        <f>+A8+1</f>
        <v>2027</v>
      </c>
      <c r="B9" s="18">
        <f>[2]Inputs!$C102</f>
        <v>8457599.8000000007</v>
      </c>
      <c r="C9" s="19">
        <f>[2]Inputs!$D102</f>
        <v>21695857</v>
      </c>
      <c r="D9" s="18">
        <f>[2]Inputs!$F102</f>
        <v>20114582.717459999</v>
      </c>
      <c r="E9" s="19">
        <v>0</v>
      </c>
      <c r="F9" s="18">
        <f t="shared" ref="F9:F44" si="1">G9-B9-C9-D9-E9-L9-M9</f>
        <v>7.4505805969238281E-9</v>
      </c>
      <c r="G9" s="19">
        <f>'[1]Resumen-Total'!$C47</f>
        <v>50268039.517460003</v>
      </c>
      <c r="H9" s="18">
        <f>'[1]Resumen Externa'!$I16</f>
        <v>1902.9339672786971</v>
      </c>
      <c r="I9" s="19">
        <f>'[1]Resumen-Total'!$J47</f>
        <v>4431.3155660013672</v>
      </c>
      <c r="J9" s="18">
        <f t="shared" ref="J9:J44" si="2">I9-H9-K9</f>
        <v>2528.3815987226699</v>
      </c>
      <c r="K9" s="20"/>
      <c r="L9" s="20"/>
      <c r="N9" s="28">
        <f t="shared" ref="N9:O44" si="3">C9</f>
        <v>21695857</v>
      </c>
      <c r="O9" s="28">
        <f t="shared" si="3"/>
        <v>20114582.717459999</v>
      </c>
      <c r="P9" s="35">
        <f t="shared" ref="P9:P47" si="4">F9</f>
        <v>7.4505805969238281E-9</v>
      </c>
      <c r="Q9" s="29">
        <f t="shared" ref="Q9:Q47" si="5">H9*$F$3</f>
        <v>6983691.5426804107</v>
      </c>
      <c r="R9" s="29">
        <f>K9</f>
        <v>0</v>
      </c>
      <c r="S9" s="29">
        <f t="shared" ref="S9:S47" si="6">J9*$F$3</f>
        <v>9279059.3322160393</v>
      </c>
      <c r="T9" s="57">
        <f t="shared" ref="T9:T44" si="7">SUM(N9:S9)</f>
        <v>58073190.592356458</v>
      </c>
      <c r="U9" s="39">
        <f t="shared" ref="U9:X44" si="8">(N9/$S$3)*100</f>
        <v>2.0501844600079271</v>
      </c>
      <c r="V9" s="40">
        <f t="shared" si="8"/>
        <v>1.9007594356323654</v>
      </c>
      <c r="W9" s="40">
        <f t="shared" si="8"/>
        <v>7.0405444495001123E-16</v>
      </c>
      <c r="X9" s="40">
        <f t="shared" si="8"/>
        <v>0.65993502235436763</v>
      </c>
      <c r="Y9" s="40">
        <f t="shared" si="0"/>
        <v>0</v>
      </c>
      <c r="Z9" s="40">
        <f t="shared" si="0"/>
        <v>0.87683944664646596</v>
      </c>
      <c r="AA9" s="41">
        <f t="shared" ref="AA9:AA47" si="9">SUM(U9:Z9)</f>
        <v>5.4877183646411272</v>
      </c>
      <c r="AB9" s="42">
        <v>8</v>
      </c>
      <c r="AC9" s="43">
        <f t="shared" ref="AC9:AC47" si="10">AA9^2</f>
        <v>30.115052849619488</v>
      </c>
    </row>
    <row r="10" spans="1:44" x14ac:dyDescent="0.25">
      <c r="A10" s="12">
        <f t="shared" ref="A10:A44" si="11">+A9+1</f>
        <v>2028</v>
      </c>
      <c r="B10" s="18">
        <f>[2]Inputs!$C103</f>
        <v>0</v>
      </c>
      <c r="C10" s="19">
        <f>[2]Inputs!$D103</f>
        <v>37205100.200000003</v>
      </c>
      <c r="D10" s="18">
        <f>[2]Inputs!$F103</f>
        <v>0</v>
      </c>
      <c r="E10" s="19"/>
      <c r="F10" s="18">
        <f t="shared" si="1"/>
        <v>0</v>
      </c>
      <c r="G10" s="19">
        <f>'[1]Resumen-Total'!$C48</f>
        <v>37205100.200000003</v>
      </c>
      <c r="H10" s="18">
        <f>'[1]Resumen Externa'!$I17</f>
        <v>1680.0449999975353</v>
      </c>
      <c r="I10" s="19">
        <f>'[1]Resumen-Total'!$J48</f>
        <v>5225.5686361356911</v>
      </c>
      <c r="J10" s="18">
        <f t="shared" si="2"/>
        <v>3545.5236361381558</v>
      </c>
      <c r="K10" s="20"/>
      <c r="L10" s="20"/>
      <c r="N10" s="28">
        <f t="shared" si="3"/>
        <v>37205100.200000003</v>
      </c>
      <c r="O10" s="28">
        <f t="shared" si="3"/>
        <v>0</v>
      </c>
      <c r="P10" s="35">
        <f t="shared" si="4"/>
        <v>0</v>
      </c>
      <c r="Q10" s="29">
        <f t="shared" si="5"/>
        <v>6165697.9483024469</v>
      </c>
      <c r="R10" s="29"/>
      <c r="S10" s="29">
        <f t="shared" si="6"/>
        <v>13011929.923916876</v>
      </c>
      <c r="T10" s="57">
        <f t="shared" si="7"/>
        <v>56382728.072219327</v>
      </c>
      <c r="U10" s="39">
        <f>(N10/$S$3)*100</f>
        <v>3.5157550247071514</v>
      </c>
      <c r="V10" s="40">
        <f t="shared" si="8"/>
        <v>0</v>
      </c>
      <c r="W10" s="40">
        <f t="shared" si="8"/>
        <v>0</v>
      </c>
      <c r="X10" s="40">
        <f t="shared" si="8"/>
        <v>0.58263741868838981</v>
      </c>
      <c r="Y10" s="40">
        <f t="shared" si="0"/>
        <v>0</v>
      </c>
      <c r="Z10" s="40">
        <f t="shared" si="0"/>
        <v>1.2295829809685097</v>
      </c>
      <c r="AA10" s="41">
        <f t="shared" si="9"/>
        <v>5.3279754243640509</v>
      </c>
      <c r="AB10" s="42">
        <v>8</v>
      </c>
      <c r="AC10" s="43">
        <f t="shared" si="10"/>
        <v>28.387322122627289</v>
      </c>
    </row>
    <row r="11" spans="1:44" x14ac:dyDescent="0.25">
      <c r="A11" s="12">
        <f t="shared" si="11"/>
        <v>2029</v>
      </c>
      <c r="B11" s="18">
        <f>[2]Inputs!$C104</f>
        <v>0</v>
      </c>
      <c r="C11" s="19">
        <f>[2]Inputs!$D104</f>
        <v>41804513</v>
      </c>
      <c r="D11" s="18">
        <f>[2]Inputs!$F104</f>
        <v>15114266.0749212</v>
      </c>
      <c r="E11" s="19">
        <f>-E8</f>
        <v>-9741703.4000000004</v>
      </c>
      <c r="F11" s="18">
        <f t="shared" si="1"/>
        <v>9742369.9909999967</v>
      </c>
      <c r="G11" s="19">
        <f>'[1]Resumen-Total'!$C49</f>
        <v>56919445.665921196</v>
      </c>
      <c r="H11" s="18">
        <f>'[1]Resumen Externa'!$I18</f>
        <v>4000</v>
      </c>
      <c r="I11" s="19">
        <f>'[1]Resumen-Total'!$J49</f>
        <v>6929.8401798226205</v>
      </c>
      <c r="J11" s="18">
        <f t="shared" si="2"/>
        <v>2929.8401798226205</v>
      </c>
      <c r="K11" s="20"/>
      <c r="L11" s="20"/>
      <c r="N11" s="28">
        <f t="shared" si="3"/>
        <v>41804513</v>
      </c>
      <c r="O11" s="28">
        <f t="shared" si="3"/>
        <v>15114266.0749212</v>
      </c>
      <c r="P11" s="35">
        <f t="shared" si="4"/>
        <v>9742369.9909999967</v>
      </c>
      <c r="Q11" s="29">
        <f t="shared" si="5"/>
        <v>14679840.000265451</v>
      </c>
      <c r="R11" s="29"/>
      <c r="S11" s="29">
        <f t="shared" si="6"/>
        <v>10752396.266536256</v>
      </c>
      <c r="T11" s="57">
        <f t="shared" si="7"/>
        <v>92093385.332722902</v>
      </c>
      <c r="U11" s="39">
        <f t="shared" si="8"/>
        <v>3.9503838410623446</v>
      </c>
      <c r="V11" s="40">
        <f t="shared" si="8"/>
        <v>1.4282465740453787</v>
      </c>
      <c r="W11" s="40">
        <f t="shared" si="8"/>
        <v>0.92062072308071352</v>
      </c>
      <c r="X11" s="40">
        <f t="shared" si="8"/>
        <v>1.3871947922567422</v>
      </c>
      <c r="Y11" s="40">
        <f t="shared" si="0"/>
        <v>0</v>
      </c>
      <c r="Z11" s="40">
        <f t="shared" si="0"/>
        <v>1.0160647598986241</v>
      </c>
      <c r="AA11" s="41">
        <f t="shared" si="9"/>
        <v>8.7025106903438036</v>
      </c>
      <c r="AB11" s="42">
        <v>8</v>
      </c>
      <c r="AC11" s="43">
        <f t="shared" si="10"/>
        <v>75.733692315548183</v>
      </c>
    </row>
    <row r="12" spans="1:44" x14ac:dyDescent="0.25">
      <c r="A12" s="12">
        <f t="shared" si="11"/>
        <v>2030</v>
      </c>
      <c r="B12" s="18">
        <f>[2]Inputs!$C105</f>
        <v>0</v>
      </c>
      <c r="C12" s="19">
        <f>[2]Inputs!$D105</f>
        <v>39932208.799999997</v>
      </c>
      <c r="D12" s="18">
        <f>[2]Inputs!$F105</f>
        <v>0</v>
      </c>
      <c r="E12" s="19"/>
      <c r="F12" s="18">
        <f t="shared" si="1"/>
        <v>1817070.8208655119</v>
      </c>
      <c r="G12" s="19">
        <f>'[1]Resumen-Total'!$C50</f>
        <v>41749279.620865509</v>
      </c>
      <c r="H12" s="18">
        <f>'[1]Resumen Externa'!$I19</f>
        <v>4019.1179999991505</v>
      </c>
      <c r="I12" s="19">
        <f>'[1]Resumen-Total'!$J50</f>
        <v>6926.3240011889729</v>
      </c>
      <c r="J12" s="18">
        <f t="shared" si="2"/>
        <v>2907.2060011898225</v>
      </c>
      <c r="K12" s="20"/>
      <c r="L12" s="20"/>
      <c r="N12" s="28">
        <f t="shared" si="3"/>
        <v>39932208.799999997</v>
      </c>
      <c r="O12" s="28">
        <f t="shared" si="3"/>
        <v>0</v>
      </c>
      <c r="P12" s="35">
        <f t="shared" si="4"/>
        <v>1817070.8208655119</v>
      </c>
      <c r="Q12" s="29">
        <f t="shared" si="5"/>
        <v>14750002.295543602</v>
      </c>
      <c r="R12" s="29"/>
      <c r="S12" s="29">
        <f t="shared" si="6"/>
        <v>10669329.736319531</v>
      </c>
      <c r="T12" s="57">
        <f t="shared" si="7"/>
        <v>67168611.652728647</v>
      </c>
      <c r="U12" s="39">
        <f t="shared" si="8"/>
        <v>3.7734574824839493</v>
      </c>
      <c r="V12" s="40">
        <f t="shared" si="8"/>
        <v>0</v>
      </c>
      <c r="W12" s="40">
        <f>(P12/$S$3)*100</f>
        <v>0.17170699270705553</v>
      </c>
      <c r="X12" s="40">
        <f t="shared" si="8"/>
        <v>1.3938248897660388</v>
      </c>
      <c r="Y12" s="40">
        <f t="shared" si="0"/>
        <v>0</v>
      </c>
      <c r="Z12" s="40">
        <f t="shared" si="0"/>
        <v>1.0082152562170175</v>
      </c>
      <c r="AA12" s="41">
        <f t="shared" si="9"/>
        <v>6.3472046211740611</v>
      </c>
      <c r="AB12" s="42">
        <v>8</v>
      </c>
      <c r="AC12" s="43">
        <f t="shared" si="10"/>
        <v>40.287006503053355</v>
      </c>
    </row>
    <row r="13" spans="1:44" x14ac:dyDescent="0.25">
      <c r="A13" s="12">
        <f t="shared" si="11"/>
        <v>2031</v>
      </c>
      <c r="B13" s="18">
        <f>[2]Inputs!$C106</f>
        <v>0</v>
      </c>
      <c r="C13" s="19">
        <f>[2]Inputs!$D106</f>
        <v>35209514.799999997</v>
      </c>
      <c r="D13" s="18">
        <f>[2]Inputs!$F106</f>
        <v>22849483.004682399</v>
      </c>
      <c r="E13" s="19"/>
      <c r="F13" s="18">
        <f t="shared" si="1"/>
        <v>0</v>
      </c>
      <c r="G13" s="19">
        <f>'[1]Resumen-Total'!$C51</f>
        <v>58058997.804682396</v>
      </c>
      <c r="H13" s="18">
        <f>'[1]Resumen Externa'!$I20</f>
        <v>4014.9520000000002</v>
      </c>
      <c r="I13" s="19">
        <f>'[1]Resumen-Total'!$J51</f>
        <v>7509.4994432315852</v>
      </c>
      <c r="J13" s="18">
        <f t="shared" si="2"/>
        <v>3494.547443231585</v>
      </c>
      <c r="K13" s="20"/>
      <c r="L13" s="20"/>
      <c r="N13" s="28">
        <f t="shared" si="3"/>
        <v>35209514.799999997</v>
      </c>
      <c r="O13" s="28">
        <f t="shared" si="3"/>
        <v>22849483.004682399</v>
      </c>
      <c r="P13" s="35">
        <f>F13</f>
        <v>0</v>
      </c>
      <c r="Q13" s="29">
        <f t="shared" si="5"/>
        <v>14734713.242186444</v>
      </c>
      <c r="R13" s="29"/>
      <c r="S13" s="29">
        <f t="shared" si="6"/>
        <v>12824849.334994094</v>
      </c>
      <c r="T13" s="57">
        <f t="shared" si="7"/>
        <v>85618560.381862938</v>
      </c>
      <c r="U13" s="39">
        <f t="shared" si="8"/>
        <v>3.3271790133655053</v>
      </c>
      <c r="V13" s="40">
        <f t="shared" si="8"/>
        <v>2.1591981812663628</v>
      </c>
      <c r="W13" s="40">
        <f t="shared" si="8"/>
        <v>0</v>
      </c>
      <c r="X13" s="40">
        <f t="shared" si="8"/>
        <v>1.392380126390198</v>
      </c>
      <c r="Y13" s="40">
        <f t="shared" si="0"/>
        <v>0</v>
      </c>
      <c r="Z13" s="40">
        <f t="shared" si="0"/>
        <v>1.2119045036362419</v>
      </c>
      <c r="AA13" s="41">
        <f t="shared" si="9"/>
        <v>8.0906618246583086</v>
      </c>
      <c r="AB13" s="42">
        <v>8</v>
      </c>
      <c r="AC13" s="43">
        <f t="shared" si="10"/>
        <v>65.458808760983317</v>
      </c>
    </row>
    <row r="14" spans="1:44" x14ac:dyDescent="0.25">
      <c r="A14" s="12">
        <f t="shared" si="11"/>
        <v>2032</v>
      </c>
      <c r="B14" s="18">
        <f>[2]Inputs!$C107</f>
        <v>0</v>
      </c>
      <c r="C14" s="19">
        <f>[2]Inputs!$D107</f>
        <v>27621627</v>
      </c>
      <c r="D14" s="18">
        <f>[2]Inputs!$F107</f>
        <v>0</v>
      </c>
      <c r="E14" s="19"/>
      <c r="F14" s="18">
        <f t="shared" si="1"/>
        <v>0.41499999910593033</v>
      </c>
      <c r="G14" s="19">
        <f>'[1]Resumen-Total'!$C52</f>
        <v>27621627.414999999</v>
      </c>
      <c r="H14" s="18">
        <f>'[1]Resumen Externa'!$I21</f>
        <v>3670.8349999975353</v>
      </c>
      <c r="I14" s="19">
        <f>'[1]Resumen-Total'!$J52</f>
        <v>5971.6544670076682</v>
      </c>
      <c r="J14" s="18">
        <f t="shared" si="2"/>
        <v>2300.8194670101329</v>
      </c>
      <c r="K14" s="20"/>
      <c r="L14" s="20"/>
      <c r="N14" s="28">
        <f t="shared" si="3"/>
        <v>27621627</v>
      </c>
      <c r="O14" s="28">
        <f t="shared" si="3"/>
        <v>0</v>
      </c>
      <c r="P14" s="35">
        <f t="shared" si="4"/>
        <v>0.41499999910593033</v>
      </c>
      <c r="Q14" s="29">
        <f t="shared" si="5"/>
        <v>13471817.61683456</v>
      </c>
      <c r="R14" s="29"/>
      <c r="S14" s="29">
        <f t="shared" si="6"/>
        <v>8443915.4113011956</v>
      </c>
      <c r="T14" s="57">
        <f t="shared" si="7"/>
        <v>49537360.443135753</v>
      </c>
      <c r="U14" s="39">
        <f t="shared" si="8"/>
        <v>2.6101495062184163</v>
      </c>
      <c r="V14" s="40">
        <f t="shared" si="8"/>
        <v>0</v>
      </c>
      <c r="W14" s="40">
        <f t="shared" si="8"/>
        <v>3.9216083931152466E-8</v>
      </c>
      <c r="X14" s="40">
        <f>(Q14/$S$3)*100</f>
        <v>1.2730407988075898</v>
      </c>
      <c r="Y14" s="40">
        <f t="shared" si="0"/>
        <v>0</v>
      </c>
      <c r="Z14" s="40">
        <f t="shared" si="0"/>
        <v>0.79792119563984742</v>
      </c>
      <c r="AA14" s="41">
        <f t="shared" si="9"/>
        <v>4.681111539881937</v>
      </c>
      <c r="AB14" s="42">
        <v>8</v>
      </c>
      <c r="AC14" s="43">
        <f t="shared" si="10"/>
        <v>21.91280524881584</v>
      </c>
    </row>
    <row r="15" spans="1:44" x14ac:dyDescent="0.25">
      <c r="A15" s="12">
        <f t="shared" si="11"/>
        <v>2033</v>
      </c>
      <c r="B15" s="18">
        <f>[2]Inputs!$C108</f>
        <v>0</v>
      </c>
      <c r="C15" s="19">
        <f>[2]Inputs!$D108</f>
        <v>51956725.200000003</v>
      </c>
      <c r="D15" s="18">
        <f>[2]Inputs!$F108</f>
        <v>14625588.517927201</v>
      </c>
      <c r="E15" s="19"/>
      <c r="F15" s="18">
        <f t="shared" si="1"/>
        <v>6.6549999993294477</v>
      </c>
      <c r="G15" s="19">
        <f>'[1]Resumen-Total'!$C53</f>
        <v>66582320.372927204</v>
      </c>
      <c r="H15" s="18">
        <f>'[1]Resumen Externa'!$I22</f>
        <v>3282.3760000000002</v>
      </c>
      <c r="I15" s="19">
        <f>'[1]Resumen-Total'!$J53</f>
        <v>5621.6227697338354</v>
      </c>
      <c r="J15" s="18">
        <f t="shared" si="2"/>
        <v>2339.2467697338352</v>
      </c>
      <c r="K15" s="20"/>
      <c r="L15" s="20"/>
      <c r="N15" s="28">
        <f t="shared" si="3"/>
        <v>51956725.200000003</v>
      </c>
      <c r="O15" s="28">
        <f t="shared" si="3"/>
        <v>14625588.517927201</v>
      </c>
      <c r="P15" s="35">
        <f t="shared" si="4"/>
        <v>6.6549999993294477</v>
      </c>
      <c r="Q15" s="29">
        <f t="shared" si="5"/>
        <v>12046188.625177829</v>
      </c>
      <c r="R15" s="29"/>
      <c r="S15" s="29">
        <f t="shared" si="6"/>
        <v>8584942.0752076246</v>
      </c>
      <c r="T15" s="57">
        <f t="shared" si="7"/>
        <v>87213451.073312655</v>
      </c>
      <c r="U15" s="39">
        <f t="shared" si="8"/>
        <v>4.9097332545076346</v>
      </c>
      <c r="V15" s="40">
        <f t="shared" si="8"/>
        <v>1.3820682122824055</v>
      </c>
      <c r="W15" s="40">
        <f t="shared" si="8"/>
        <v>6.2887479300670147E-7</v>
      </c>
      <c r="X15" s="40">
        <f t="shared" si="8"/>
        <v>1.1383237233571291</v>
      </c>
      <c r="Y15" s="40">
        <f t="shared" si="0"/>
        <v>0</v>
      </c>
      <c r="Z15" s="40">
        <f t="shared" si="0"/>
        <v>0.81124773419454577</v>
      </c>
      <c r="AA15" s="41">
        <f t="shared" si="9"/>
        <v>8.2413735532165067</v>
      </c>
      <c r="AB15" s="42">
        <v>8</v>
      </c>
      <c r="AC15" s="43">
        <f t="shared" si="10"/>
        <v>67.920238043656468</v>
      </c>
    </row>
    <row r="16" spans="1:44" x14ac:dyDescent="0.25">
      <c r="A16" s="12">
        <f t="shared" si="11"/>
        <v>2034</v>
      </c>
      <c r="B16" s="18">
        <f>[2]Inputs!$C109</f>
        <v>0</v>
      </c>
      <c r="C16" s="19">
        <f>[2]Inputs!$D109</f>
        <v>15721623.300000001</v>
      </c>
      <c r="D16" s="18">
        <f>[2]Inputs!$F109</f>
        <v>0</v>
      </c>
      <c r="E16" s="19"/>
      <c r="F16" s="18">
        <f t="shared" si="1"/>
        <v>0</v>
      </c>
      <c r="G16" s="19">
        <f>'[1]Resumen-Total'!$C54</f>
        <v>15721623.300000001</v>
      </c>
      <c r="H16" s="18">
        <f>'[1]Resumen Externa'!$I23</f>
        <v>3006.6099999988105</v>
      </c>
      <c r="I16" s="19">
        <f>'[1]Resumen-Total'!$J54</f>
        <v>5138.721018224167</v>
      </c>
      <c r="J16" s="18">
        <f t="shared" si="2"/>
        <v>2132.1110182253565</v>
      </c>
      <c r="K16" s="20"/>
      <c r="L16" s="20"/>
      <c r="N16" s="28">
        <f t="shared" si="3"/>
        <v>15721623.300000001</v>
      </c>
      <c r="O16" s="28">
        <f t="shared" si="3"/>
        <v>0</v>
      </c>
      <c r="P16" s="35">
        <f>F16</f>
        <v>0</v>
      </c>
      <c r="Q16" s="29">
        <f t="shared" si="5"/>
        <v>11034138.435795162</v>
      </c>
      <c r="R16" s="29"/>
      <c r="S16" s="29">
        <f t="shared" si="6"/>
        <v>7824762.1525878217</v>
      </c>
      <c r="T16" s="57">
        <f t="shared" si="7"/>
        <v>34580523.888382986</v>
      </c>
      <c r="U16" s="39">
        <f t="shared" si="8"/>
        <v>1.4856397595060911</v>
      </c>
      <c r="V16" s="40">
        <f t="shared" si="8"/>
        <v>0</v>
      </c>
      <c r="W16" s="40">
        <f t="shared" si="8"/>
        <v>0</v>
      </c>
      <c r="X16" s="40">
        <f t="shared" si="8"/>
        <v>1.0426884335863484</v>
      </c>
      <c r="Y16" s="40">
        <f t="shared" si="0"/>
        <v>0</v>
      </c>
      <c r="Z16" s="40">
        <f t="shared" si="0"/>
        <v>0.73941332524885861</v>
      </c>
      <c r="AA16" s="41">
        <f t="shared" si="9"/>
        <v>3.2677415183412979</v>
      </c>
      <c r="AB16" s="42">
        <v>8</v>
      </c>
      <c r="AC16" s="43">
        <f t="shared" si="10"/>
        <v>10.67813463069149</v>
      </c>
    </row>
    <row r="17" spans="1:29" x14ac:dyDescent="0.25">
      <c r="A17" s="12">
        <f t="shared" si="11"/>
        <v>2035</v>
      </c>
      <c r="B17" s="18">
        <f>[2]Inputs!$C110</f>
        <v>0</v>
      </c>
      <c r="C17" s="19">
        <f>[2]Inputs!$D110</f>
        <v>37230595.399999999</v>
      </c>
      <c r="D17" s="18">
        <f>[2]Inputs!$F110</f>
        <v>31014428.827223603</v>
      </c>
      <c r="E17" s="19"/>
      <c r="F17" s="18">
        <f t="shared" si="1"/>
        <v>3.7252902984619141E-9</v>
      </c>
      <c r="G17" s="19">
        <f>'[1]Resumen-Total'!$C55</f>
        <v>68245024.227223605</v>
      </c>
      <c r="H17" s="18">
        <f>'[1]Resumen Externa'!$I24</f>
        <v>2243.6489999999999</v>
      </c>
      <c r="I17" s="19">
        <f>'[1]Resumen-Total'!$J55</f>
        <v>4711.7320926265375</v>
      </c>
      <c r="J17" s="18">
        <f t="shared" si="2"/>
        <v>2468.0830926265376</v>
      </c>
      <c r="K17" s="20"/>
      <c r="L17" s="20"/>
      <c r="N17" s="28">
        <f t="shared" si="3"/>
        <v>37230595.399999999</v>
      </c>
      <c r="O17" s="28">
        <f t="shared" si="3"/>
        <v>31014428.827223603</v>
      </c>
      <c r="P17" s="35">
        <f t="shared" si="4"/>
        <v>3.7252902984619141E-9</v>
      </c>
      <c r="Q17" s="29">
        <f t="shared" si="5"/>
        <v>8234102.0841888944</v>
      </c>
      <c r="R17" s="29"/>
      <c r="S17" s="29">
        <f t="shared" si="6"/>
        <v>9057766.2267794758</v>
      </c>
      <c r="T17" s="57">
        <f t="shared" si="7"/>
        <v>85536892.538191974</v>
      </c>
      <c r="U17" s="39">
        <f t="shared" si="8"/>
        <v>3.5181642341172603</v>
      </c>
      <c r="V17" s="40">
        <f t="shared" si="8"/>
        <v>2.9307577026155593</v>
      </c>
      <c r="W17" s="40">
        <f t="shared" si="8"/>
        <v>3.5202722247500561E-16</v>
      </c>
      <c r="X17" s="40">
        <f t="shared" si="8"/>
        <v>0.77809455211301182</v>
      </c>
      <c r="Y17" s="40">
        <f t="shared" si="0"/>
        <v>0</v>
      </c>
      <c r="Z17" s="40">
        <f t="shared" si="0"/>
        <v>0.85592800323711182</v>
      </c>
      <c r="AA17" s="41">
        <f t="shared" si="9"/>
        <v>8.0829444920829427</v>
      </c>
      <c r="AB17" s="42">
        <v>8</v>
      </c>
      <c r="AC17" s="43">
        <f t="shared" si="10"/>
        <v>65.333991662093979</v>
      </c>
    </row>
    <row r="18" spans="1:29" x14ac:dyDescent="0.25">
      <c r="A18" s="12">
        <f t="shared" si="11"/>
        <v>2036</v>
      </c>
      <c r="B18" s="18">
        <f>[2]Inputs!$C111</f>
        <v>0</v>
      </c>
      <c r="C18" s="19">
        <f>[2]Inputs!$D111</f>
        <v>19600254.699999999</v>
      </c>
      <c r="D18" s="18">
        <f>[2]Inputs!$F111</f>
        <v>0</v>
      </c>
      <c r="E18" s="19"/>
      <c r="F18" s="18">
        <f t="shared" si="1"/>
        <v>0</v>
      </c>
      <c r="G18" s="19">
        <f>'[1]Resumen-Total'!$C56</f>
        <v>19600254.699999999</v>
      </c>
      <c r="H18" s="18">
        <f>'[1]Resumen Externa'!$I25</f>
        <v>3382.7599999979602</v>
      </c>
      <c r="I18" s="19">
        <f>'[1]Resumen-Total'!$J56</f>
        <v>7028.2454686798374</v>
      </c>
      <c r="J18" s="18">
        <f t="shared" si="2"/>
        <v>3645.4854686818771</v>
      </c>
      <c r="K18" s="20"/>
      <c r="L18" s="20"/>
      <c r="N18" s="28">
        <f t="shared" si="3"/>
        <v>19600254.699999999</v>
      </c>
      <c r="O18" s="28">
        <f t="shared" si="3"/>
        <v>0</v>
      </c>
      <c r="P18" s="35">
        <f t="shared" si="4"/>
        <v>0</v>
      </c>
      <c r="Q18" s="29">
        <f t="shared" si="5"/>
        <v>12414593.889817003</v>
      </c>
      <c r="R18" s="29"/>
      <c r="S18" s="29">
        <f t="shared" si="6"/>
        <v>13378785.850885667</v>
      </c>
      <c r="T18" s="57">
        <f t="shared" si="7"/>
        <v>45393634.440702669</v>
      </c>
      <c r="U18" s="39">
        <f t="shared" si="8"/>
        <v>1.8521571928749956</v>
      </c>
      <c r="V18" s="40">
        <f t="shared" si="8"/>
        <v>0</v>
      </c>
      <c r="W18" s="40">
        <f t="shared" si="8"/>
        <v>0</v>
      </c>
      <c r="X18" s="40">
        <f t="shared" si="8"/>
        <v>1.1731367638628969</v>
      </c>
      <c r="Y18" s="40">
        <f t="shared" si="0"/>
        <v>0</v>
      </c>
      <c r="Z18" s="40">
        <f t="shared" si="0"/>
        <v>1.2642496143507824</v>
      </c>
      <c r="AA18" s="41">
        <f t="shared" si="9"/>
        <v>4.2895435710886751</v>
      </c>
      <c r="AB18" s="42">
        <v>8</v>
      </c>
      <c r="AC18" s="43">
        <f t="shared" si="10"/>
        <v>18.400184048268184</v>
      </c>
    </row>
    <row r="19" spans="1:29" x14ac:dyDescent="0.25">
      <c r="A19" s="12">
        <f t="shared" si="11"/>
        <v>2037</v>
      </c>
      <c r="B19" s="18">
        <f>[2]Inputs!$C112</f>
        <v>0</v>
      </c>
      <c r="C19" s="19">
        <f>[2]Inputs!$D112</f>
        <v>0</v>
      </c>
      <c r="D19" s="18">
        <f>[2]Inputs!$F112</f>
        <v>44999650.980424799</v>
      </c>
      <c r="E19" s="19"/>
      <c r="F19" s="18">
        <f t="shared" si="1"/>
        <v>0</v>
      </c>
      <c r="G19" s="19">
        <f>'[1]Resumen-Total'!$C57</f>
        <v>44999650.980424799</v>
      </c>
      <c r="H19" s="18">
        <f>'[1]Resumen Externa'!$I26</f>
        <v>1818.4</v>
      </c>
      <c r="I19" s="19">
        <f>'[1]Resumen-Total'!$J57</f>
        <v>3071.2230896540436</v>
      </c>
      <c r="J19" s="18">
        <f t="shared" si="2"/>
        <v>1252.8230896540435</v>
      </c>
      <c r="K19" s="20"/>
      <c r="L19" s="20"/>
      <c r="N19" s="28">
        <f t="shared" si="3"/>
        <v>0</v>
      </c>
      <c r="O19" s="28">
        <f t="shared" si="3"/>
        <v>44999650.980424799</v>
      </c>
      <c r="P19" s="35">
        <f t="shared" si="4"/>
        <v>0</v>
      </c>
      <c r="Q19" s="29">
        <f t="shared" si="5"/>
        <v>6673455.2641206747</v>
      </c>
      <c r="R19" s="29"/>
      <c r="S19" s="29">
        <f t="shared" si="6"/>
        <v>4597810.626189894</v>
      </c>
      <c r="T19" s="57">
        <f t="shared" si="7"/>
        <v>56270916.87073537</v>
      </c>
      <c r="U19" s="39">
        <f t="shared" si="8"/>
        <v>0</v>
      </c>
      <c r="V19" s="40">
        <f t="shared" si="8"/>
        <v>4.2523134783681229</v>
      </c>
      <c r="W19" s="40">
        <f t="shared" si="8"/>
        <v>0</v>
      </c>
      <c r="X19" s="40">
        <f t="shared" si="8"/>
        <v>0.63061875255991506</v>
      </c>
      <c r="Y19" s="40">
        <f t="shared" si="0"/>
        <v>0</v>
      </c>
      <c r="Z19" s="40">
        <f t="shared" si="0"/>
        <v>0.43447741639677268</v>
      </c>
      <c r="AA19" s="41">
        <f t="shared" si="9"/>
        <v>5.3174096473248103</v>
      </c>
      <c r="AB19" s="42">
        <v>8</v>
      </c>
      <c r="AC19" s="43">
        <f t="shared" si="10"/>
        <v>28.274845357462961</v>
      </c>
    </row>
    <row r="20" spans="1:29" x14ac:dyDescent="0.25">
      <c r="A20" s="12">
        <f t="shared" si="11"/>
        <v>2038</v>
      </c>
      <c r="B20" s="18">
        <f>[2]Inputs!$C113</f>
        <v>0</v>
      </c>
      <c r="C20" s="19">
        <f>[2]Inputs!$D113</f>
        <v>0</v>
      </c>
      <c r="D20" s="18">
        <f>[2]Inputs!$F113</f>
        <v>0</v>
      </c>
      <c r="E20" s="19"/>
      <c r="F20" s="18">
        <f t="shared" si="1"/>
        <v>0</v>
      </c>
      <c r="G20" s="19">
        <f>'[1]Resumen-Total'!$C58</f>
        <v>0</v>
      </c>
      <c r="H20" s="18">
        <f>'[1]Resumen Externa'!$I27</f>
        <v>921.83999999864022</v>
      </c>
      <c r="I20" s="19">
        <f>'[1]Resumen-Total'!$J58</f>
        <v>3427.432375242236</v>
      </c>
      <c r="J20" s="18">
        <f t="shared" si="2"/>
        <v>2505.5923752435956</v>
      </c>
      <c r="K20" s="20"/>
      <c r="L20" s="20"/>
      <c r="N20" s="28">
        <f t="shared" si="3"/>
        <v>0</v>
      </c>
      <c r="O20" s="28">
        <f t="shared" si="3"/>
        <v>0</v>
      </c>
      <c r="P20" s="35">
        <f t="shared" si="4"/>
        <v>0</v>
      </c>
      <c r="Q20" s="29">
        <f t="shared" si="5"/>
        <v>3383115.9264561855</v>
      </c>
      <c r="R20" s="29"/>
      <c r="S20" s="29">
        <f t="shared" si="6"/>
        <v>9195423.7936152648</v>
      </c>
      <c r="T20" s="57">
        <f t="shared" si="7"/>
        <v>12578539.72007145</v>
      </c>
      <c r="U20" s="39">
        <f t="shared" si="8"/>
        <v>0</v>
      </c>
      <c r="V20" s="40">
        <f t="shared" si="8"/>
        <v>0</v>
      </c>
      <c r="W20" s="40">
        <f t="shared" si="8"/>
        <v>0</v>
      </c>
      <c r="X20" s="40">
        <f t="shared" si="8"/>
        <v>0.31969291182301723</v>
      </c>
      <c r="Y20" s="40">
        <f t="shared" si="0"/>
        <v>0</v>
      </c>
      <c r="Z20" s="40">
        <f t="shared" si="0"/>
        <v>0.86893617361402919</v>
      </c>
      <c r="AA20" s="41">
        <f t="shared" si="9"/>
        <v>1.1886290854370465</v>
      </c>
      <c r="AB20" s="42">
        <v>8</v>
      </c>
      <c r="AC20" s="43">
        <f t="shared" si="10"/>
        <v>1.4128391027469096</v>
      </c>
    </row>
    <row r="21" spans="1:29" x14ac:dyDescent="0.25">
      <c r="A21" s="12">
        <f t="shared" si="11"/>
        <v>2039</v>
      </c>
      <c r="B21" s="18">
        <f>[2]Inputs!$C114</f>
        <v>0</v>
      </c>
      <c r="C21" s="19">
        <f>[2]Inputs!$D114</f>
        <v>0</v>
      </c>
      <c r="D21" s="18">
        <f>[2]Inputs!$F114</f>
        <v>0</v>
      </c>
      <c r="E21" s="19"/>
      <c r="F21" s="18">
        <f t="shared" si="1"/>
        <v>0</v>
      </c>
      <c r="G21" s="19">
        <f>'[1]Resumen-Total'!$C59</f>
        <v>0</v>
      </c>
      <c r="H21" s="18">
        <f>'[1]Resumen Externa'!$I28</f>
        <v>0</v>
      </c>
      <c r="I21" s="19">
        <f>'[1]Resumen-Total'!$J59</f>
        <v>1443.4114372960544</v>
      </c>
      <c r="J21" s="18">
        <f t="shared" si="2"/>
        <v>1443.4114372960544</v>
      </c>
      <c r="K21" s="20"/>
      <c r="L21" s="20"/>
      <c r="N21" s="28">
        <f t="shared" si="3"/>
        <v>0</v>
      </c>
      <c r="O21" s="28">
        <f t="shared" si="3"/>
        <v>0</v>
      </c>
      <c r="P21" s="35">
        <f t="shared" si="4"/>
        <v>0</v>
      </c>
      <c r="Q21" s="29">
        <f t="shared" si="5"/>
        <v>0</v>
      </c>
      <c r="R21" s="29"/>
      <c r="S21" s="29">
        <f t="shared" si="6"/>
        <v>5297262.2385148164</v>
      </c>
      <c r="T21" s="57">
        <f t="shared" si="7"/>
        <v>5297262.2385148164</v>
      </c>
      <c r="U21" s="39">
        <f t="shared" si="8"/>
        <v>0</v>
      </c>
      <c r="V21" s="40">
        <f t="shared" si="8"/>
        <v>0</v>
      </c>
      <c r="W21" s="40">
        <f t="shared" si="8"/>
        <v>0</v>
      </c>
      <c r="X21" s="40">
        <f t="shared" si="8"/>
        <v>0</v>
      </c>
      <c r="Y21" s="40">
        <f t="shared" si="0"/>
        <v>0</v>
      </c>
      <c r="Z21" s="40">
        <f t="shared" si="0"/>
        <v>0.50057320722522647</v>
      </c>
      <c r="AA21" s="41">
        <f t="shared" si="9"/>
        <v>0.50057320722522647</v>
      </c>
      <c r="AB21" s="42">
        <v>8</v>
      </c>
      <c r="AC21" s="43">
        <f t="shared" si="10"/>
        <v>0.25057353579174951</v>
      </c>
    </row>
    <row r="22" spans="1:29" x14ac:dyDescent="0.25">
      <c r="A22" s="12">
        <f t="shared" si="11"/>
        <v>2040</v>
      </c>
      <c r="B22" s="18">
        <f>[2]Inputs!$C115</f>
        <v>0</v>
      </c>
      <c r="C22" s="19">
        <f>[2]Inputs!$D115</f>
        <v>22881302.399999999</v>
      </c>
      <c r="D22" s="18">
        <f>[2]Inputs!$F115</f>
        <v>0</v>
      </c>
      <c r="E22" s="19"/>
      <c r="F22" s="18">
        <f t="shared" si="1"/>
        <v>0</v>
      </c>
      <c r="G22" s="19">
        <f>'[1]Resumen-Total'!$C60</f>
        <v>22881302.399999999</v>
      </c>
      <c r="H22" s="18">
        <f>'[1]Resumen Externa'!$I29</f>
        <v>0</v>
      </c>
      <c r="I22" s="19">
        <f>'[1]Resumen-Total'!$J60</f>
        <v>1610.5283636396111</v>
      </c>
      <c r="J22" s="18">
        <f t="shared" si="2"/>
        <v>1610.5283636396111</v>
      </c>
      <c r="K22" s="20"/>
      <c r="L22" s="20"/>
      <c r="N22" s="28">
        <f t="shared" si="3"/>
        <v>22881302.399999999</v>
      </c>
      <c r="O22" s="28">
        <f t="shared" si="3"/>
        <v>0</v>
      </c>
      <c r="P22" s="35">
        <f t="shared" si="4"/>
        <v>0</v>
      </c>
      <c r="Q22" s="29">
        <f t="shared" si="5"/>
        <v>0</v>
      </c>
      <c r="R22" s="29"/>
      <c r="S22" s="29">
        <f t="shared" si="6"/>
        <v>5910574.673529706</v>
      </c>
      <c r="T22" s="57">
        <f t="shared" si="7"/>
        <v>28791877.073529705</v>
      </c>
      <c r="U22" s="39">
        <f t="shared" si="8"/>
        <v>2.1622050055557644</v>
      </c>
      <c r="V22" s="40">
        <f t="shared" si="8"/>
        <v>0</v>
      </c>
      <c r="W22" s="40">
        <f t="shared" si="8"/>
        <v>0</v>
      </c>
      <c r="X22" s="40">
        <f t="shared" si="8"/>
        <v>0</v>
      </c>
      <c r="Y22" s="40">
        <f t="shared" si="0"/>
        <v>0</v>
      </c>
      <c r="Z22" s="40">
        <f t="shared" si="0"/>
        <v>0.55852913970566032</v>
      </c>
      <c r="AA22" s="41">
        <f t="shared" si="9"/>
        <v>2.7207341452614249</v>
      </c>
      <c r="AB22" s="42">
        <v>8</v>
      </c>
      <c r="AC22" s="43">
        <f t="shared" si="10"/>
        <v>7.4023942891914158</v>
      </c>
    </row>
    <row r="23" spans="1:29" x14ac:dyDescent="0.25">
      <c r="A23" s="12">
        <f t="shared" si="11"/>
        <v>2041</v>
      </c>
      <c r="B23" s="18">
        <f>[2]Inputs!$C116</f>
        <v>0</v>
      </c>
      <c r="C23" s="19">
        <f>[2]Inputs!$D116</f>
        <v>0</v>
      </c>
      <c r="D23" s="18">
        <f>[2]Inputs!$F116</f>
        <v>7410046.2822980005</v>
      </c>
      <c r="E23" s="19"/>
      <c r="F23" s="18">
        <f t="shared" si="1"/>
        <v>0</v>
      </c>
      <c r="G23" s="19">
        <f>'[1]Resumen-Total'!$C61</f>
        <v>7410046.2822980005</v>
      </c>
      <c r="H23" s="18">
        <f>'[1]Resumen Externa'!$I30</f>
        <v>2500</v>
      </c>
      <c r="I23" s="19">
        <f>'[1]Resumen-Total'!$J61</f>
        <v>3011.9396881035309</v>
      </c>
      <c r="J23" s="18">
        <f t="shared" si="2"/>
        <v>511.9396881035309</v>
      </c>
      <c r="K23" s="20"/>
      <c r="L23" s="20"/>
      <c r="N23" s="28">
        <f t="shared" si="3"/>
        <v>0</v>
      </c>
      <c r="O23" s="28">
        <f t="shared" si="3"/>
        <v>7410046.2822980005</v>
      </c>
      <c r="P23" s="35">
        <f t="shared" si="4"/>
        <v>0</v>
      </c>
      <c r="Q23" s="29">
        <f t="shared" si="5"/>
        <v>9174900.0001659058</v>
      </c>
      <c r="R23" s="29"/>
      <c r="S23" s="29">
        <f t="shared" si="6"/>
        <v>1878798.177786408</v>
      </c>
      <c r="T23" s="57">
        <f t="shared" si="7"/>
        <v>18463744.460250314</v>
      </c>
      <c r="U23" s="39">
        <f t="shared" si="8"/>
        <v>0</v>
      </c>
      <c r="V23" s="40">
        <f t="shared" si="8"/>
        <v>0.70022409052137802</v>
      </c>
      <c r="W23" s="40">
        <f t="shared" si="8"/>
        <v>0</v>
      </c>
      <c r="X23" s="40">
        <f t="shared" si="8"/>
        <v>0.86699674516046377</v>
      </c>
      <c r="Y23" s="40">
        <f t="shared" si="0"/>
        <v>0</v>
      </c>
      <c r="Z23" s="40">
        <f t="shared" si="0"/>
        <v>0.17754001732168975</v>
      </c>
      <c r="AA23" s="41">
        <f t="shared" si="9"/>
        <v>1.7447608530035315</v>
      </c>
      <c r="AB23" s="42">
        <v>8</v>
      </c>
      <c r="AC23" s="43">
        <f t="shared" si="10"/>
        <v>3.0441904341736108</v>
      </c>
    </row>
    <row r="24" spans="1:29" x14ac:dyDescent="0.25">
      <c r="A24" s="12">
        <f t="shared" si="11"/>
        <v>2042</v>
      </c>
      <c r="B24" s="18">
        <f>[2]Inputs!$C117</f>
        <v>0</v>
      </c>
      <c r="C24" s="19">
        <f>[2]Inputs!$D117</f>
        <v>47117754.799999997</v>
      </c>
      <c r="D24" s="18">
        <f>[2]Inputs!$F117</f>
        <v>0</v>
      </c>
      <c r="E24" s="19"/>
      <c r="F24" s="18">
        <f t="shared" si="1"/>
        <v>0</v>
      </c>
      <c r="G24" s="19">
        <f>'[1]Resumen-Total'!$C62</f>
        <v>47117754.799999997</v>
      </c>
      <c r="H24" s="18">
        <f>'[1]Resumen Externa'!$I31</f>
        <v>514.54600000000005</v>
      </c>
      <c r="I24" s="19">
        <f>'[1]Resumen-Total'!$J62</f>
        <v>839.89167664156582</v>
      </c>
      <c r="J24" s="18">
        <f t="shared" si="2"/>
        <v>325.34567664156577</v>
      </c>
      <c r="K24" s="20"/>
      <c r="L24" s="20"/>
      <c r="N24" s="28">
        <f t="shared" si="3"/>
        <v>47117754.799999997</v>
      </c>
      <c r="O24" s="28">
        <f t="shared" si="3"/>
        <v>0</v>
      </c>
      <c r="P24" s="35">
        <f t="shared" si="4"/>
        <v>0</v>
      </c>
      <c r="Q24" s="29">
        <f t="shared" si="5"/>
        <v>1888363.2381941469</v>
      </c>
      <c r="R24" s="29"/>
      <c r="S24" s="29">
        <f t="shared" si="6"/>
        <v>1194005.6194690715</v>
      </c>
      <c r="T24" s="57">
        <f t="shared" si="7"/>
        <v>50200123.657663211</v>
      </c>
      <c r="U24" s="39">
        <f t="shared" si="8"/>
        <v>4.4524670623254892</v>
      </c>
      <c r="V24" s="40">
        <f t="shared" si="8"/>
        <v>0</v>
      </c>
      <c r="W24" s="40">
        <f t="shared" si="8"/>
        <v>0</v>
      </c>
      <c r="X24" s="40">
        <f t="shared" si="8"/>
        <v>0.17844388289413443</v>
      </c>
      <c r="Y24" s="40">
        <f t="shared" si="0"/>
        <v>0</v>
      </c>
      <c r="Z24" s="40">
        <f t="shared" si="0"/>
        <v>0.11282945708010653</v>
      </c>
      <c r="AA24" s="41">
        <f t="shared" si="9"/>
        <v>4.7437404022997303</v>
      </c>
      <c r="AB24" s="42">
        <v>8</v>
      </c>
      <c r="AC24" s="43">
        <f t="shared" si="10"/>
        <v>22.503073004410808</v>
      </c>
    </row>
    <row r="25" spans="1:29" x14ac:dyDescent="0.25">
      <c r="A25" s="12">
        <f t="shared" si="11"/>
        <v>2043</v>
      </c>
      <c r="B25" s="18">
        <f>[2]Inputs!$C118</f>
        <v>0</v>
      </c>
      <c r="C25" s="19">
        <f>[2]Inputs!$D118</f>
        <v>0</v>
      </c>
      <c r="D25" s="18">
        <f>[2]Inputs!$F118</f>
        <v>0</v>
      </c>
      <c r="E25" s="19"/>
      <c r="F25" s="18">
        <f t="shared" si="1"/>
        <v>0</v>
      </c>
      <c r="G25" s="19">
        <f>'[1]Resumen-Total'!$C63</f>
        <v>0</v>
      </c>
      <c r="H25" s="18">
        <f>'[1]Resumen Externa'!$I32</f>
        <v>0</v>
      </c>
      <c r="I25" s="19">
        <f>'[1]Resumen-Total'!$J63</f>
        <v>137.99968941707658</v>
      </c>
      <c r="J25" s="18">
        <f t="shared" si="2"/>
        <v>137.99968941707658</v>
      </c>
      <c r="K25" s="20"/>
      <c r="L25" s="20"/>
      <c r="N25" s="28">
        <f t="shared" si="3"/>
        <v>0</v>
      </c>
      <c r="O25" s="28">
        <f t="shared" si="3"/>
        <v>0</v>
      </c>
      <c r="P25" s="35">
        <f t="shared" si="4"/>
        <v>0</v>
      </c>
      <c r="Q25" s="29">
        <f t="shared" si="5"/>
        <v>0</v>
      </c>
      <c r="R25" s="29"/>
      <c r="S25" s="29">
        <f t="shared" si="6"/>
        <v>506453.3401822524</v>
      </c>
      <c r="T25" s="57">
        <f t="shared" si="7"/>
        <v>506453.3401822524</v>
      </c>
      <c r="U25" s="39">
        <f t="shared" si="8"/>
        <v>0</v>
      </c>
      <c r="V25" s="40">
        <f t="shared" si="8"/>
        <v>0</v>
      </c>
      <c r="W25" s="40">
        <f t="shared" si="8"/>
        <v>0</v>
      </c>
      <c r="X25" s="40">
        <f t="shared" si="8"/>
        <v>0</v>
      </c>
      <c r="Y25" s="40">
        <f t="shared" si="0"/>
        <v>0</v>
      </c>
      <c r="Z25" s="40">
        <f t="shared" si="0"/>
        <v>4.7858112623104125E-2</v>
      </c>
      <c r="AA25" s="41">
        <f t="shared" si="9"/>
        <v>4.7858112623104125E-2</v>
      </c>
      <c r="AB25" s="42">
        <v>8</v>
      </c>
      <c r="AC25" s="43">
        <f t="shared" si="10"/>
        <v>2.2903989438457185E-3</v>
      </c>
    </row>
    <row r="26" spans="1:29" x14ac:dyDescent="0.25">
      <c r="A26" s="12">
        <f t="shared" si="11"/>
        <v>2044</v>
      </c>
      <c r="B26" s="18">
        <f>[2]Inputs!$C119</f>
        <v>0</v>
      </c>
      <c r="C26" s="19">
        <f>[2]Inputs!$D119</f>
        <v>0</v>
      </c>
      <c r="D26" s="18">
        <f>[2]Inputs!$F119</f>
        <v>0</v>
      </c>
      <c r="E26" s="19"/>
      <c r="F26" s="18">
        <f t="shared" si="1"/>
        <v>0</v>
      </c>
      <c r="G26" s="19">
        <f>'[1]Resumen-Total'!$C64</f>
        <v>0</v>
      </c>
      <c r="H26" s="18">
        <f>'[1]Resumen Externa'!$I33</f>
        <v>2500</v>
      </c>
      <c r="I26" s="19">
        <f>'[1]Resumen-Total'!$J64</f>
        <v>2597.8419832122022</v>
      </c>
      <c r="J26" s="18">
        <f t="shared" si="2"/>
        <v>97.841983212202194</v>
      </c>
      <c r="K26" s="20"/>
      <c r="L26" s="20"/>
      <c r="N26" s="28">
        <f t="shared" si="3"/>
        <v>0</v>
      </c>
      <c r="O26" s="28">
        <f t="shared" si="3"/>
        <v>0</v>
      </c>
      <c r="P26" s="35">
        <f t="shared" si="4"/>
        <v>0</v>
      </c>
      <c r="Q26" s="29">
        <f t="shared" si="5"/>
        <v>9174900.0001659058</v>
      </c>
      <c r="R26" s="29"/>
      <c r="S26" s="29">
        <f t="shared" si="6"/>
        <v>359076.16471594659</v>
      </c>
      <c r="T26" s="57">
        <f t="shared" si="7"/>
        <v>9533976.1648818515</v>
      </c>
      <c r="U26" s="39">
        <f>(N26/$S$3)*100</f>
        <v>0</v>
      </c>
      <c r="V26" s="40">
        <f t="shared" si="8"/>
        <v>0</v>
      </c>
      <c r="W26" s="40">
        <f t="shared" si="8"/>
        <v>0</v>
      </c>
      <c r="X26" s="40">
        <f t="shared" si="8"/>
        <v>0.86699674516046377</v>
      </c>
      <c r="Y26" s="40">
        <f t="shared" si="0"/>
        <v>0</v>
      </c>
      <c r="Z26" s="40">
        <f t="shared" si="0"/>
        <v>3.3931472394009621E-2</v>
      </c>
      <c r="AA26" s="41">
        <f t="shared" si="9"/>
        <v>0.90092821755447339</v>
      </c>
      <c r="AB26" s="42">
        <v>8</v>
      </c>
      <c r="AC26" s="43">
        <f t="shared" si="10"/>
        <v>0.81167165318588053</v>
      </c>
    </row>
    <row r="27" spans="1:29" x14ac:dyDescent="0.25">
      <c r="A27" s="12">
        <f t="shared" si="11"/>
        <v>2045</v>
      </c>
      <c r="B27" s="18">
        <f>[2]Inputs!$C120</f>
        <v>0</v>
      </c>
      <c r="C27" s="19">
        <f>[2]Inputs!$D120</f>
        <v>0</v>
      </c>
      <c r="D27" s="18">
        <f>[2]Inputs!$F120</f>
        <v>0</v>
      </c>
      <c r="E27" s="19"/>
      <c r="F27" s="18">
        <f t="shared" si="1"/>
        <v>0</v>
      </c>
      <c r="G27" s="19">
        <f>'[1]Resumen-Total'!$C65</f>
        <v>0</v>
      </c>
      <c r="H27" s="18">
        <f>'[1]Resumen Externa'!$I34</f>
        <v>3670.9479999999999</v>
      </c>
      <c r="I27" s="19">
        <f>'[1]Resumen-Total'!$J65</f>
        <v>3759.5137503852561</v>
      </c>
      <c r="J27" s="18">
        <f t="shared" si="2"/>
        <v>88.565750385256251</v>
      </c>
      <c r="K27" s="20"/>
      <c r="L27" s="20"/>
      <c r="N27" s="28">
        <f t="shared" si="3"/>
        <v>0</v>
      </c>
      <c r="O27" s="28">
        <f t="shared" si="3"/>
        <v>0</v>
      </c>
      <c r="P27" s="35">
        <f t="shared" si="4"/>
        <v>0</v>
      </c>
      <c r="Q27" s="29">
        <f t="shared" si="5"/>
        <v>13472232.322323613</v>
      </c>
      <c r="R27" s="29"/>
      <c r="S27" s="29">
        <f t="shared" si="6"/>
        <v>325032.7612897525</v>
      </c>
      <c r="T27" s="57">
        <f t="shared" si="7"/>
        <v>13797265.083613366</v>
      </c>
      <c r="U27" s="39">
        <f t="shared" si="8"/>
        <v>0</v>
      </c>
      <c r="V27" s="40">
        <f t="shared" si="8"/>
        <v>0</v>
      </c>
      <c r="W27" s="40">
        <f t="shared" si="8"/>
        <v>0</v>
      </c>
      <c r="X27" s="40">
        <f t="shared" si="8"/>
        <v>1.2730799870613259</v>
      </c>
      <c r="Y27" s="40">
        <f t="shared" si="0"/>
        <v>0</v>
      </c>
      <c r="Z27" s="40">
        <f t="shared" si="0"/>
        <v>3.071448692668451E-2</v>
      </c>
      <c r="AA27" s="41">
        <f t="shared" si="9"/>
        <v>1.3037944739880103</v>
      </c>
      <c r="AB27" s="42">
        <v>8</v>
      </c>
      <c r="AC27" s="43">
        <f t="shared" si="10"/>
        <v>1.6998800304016723</v>
      </c>
    </row>
    <row r="28" spans="1:29" x14ac:dyDescent="0.25">
      <c r="A28" s="12">
        <f t="shared" si="11"/>
        <v>2046</v>
      </c>
      <c r="B28" s="18">
        <f>[2]Inputs!$C121</f>
        <v>0</v>
      </c>
      <c r="C28" s="19">
        <f>[2]Inputs!$D121</f>
        <v>38492554.399999999</v>
      </c>
      <c r="D28" s="18">
        <f>[2]Inputs!$F121</f>
        <v>0</v>
      </c>
      <c r="E28" s="19"/>
      <c r="F28" s="18">
        <f t="shared" si="1"/>
        <v>0</v>
      </c>
      <c r="G28" s="19">
        <f>'[1]Resumen-Total'!$C66</f>
        <v>38492554.399999999</v>
      </c>
      <c r="H28" s="18">
        <f>'[1]Resumen Externa'!$I35</f>
        <v>0</v>
      </c>
      <c r="I28" s="19">
        <f>'[1]Resumen-Total'!$J66</f>
        <v>82.332749658349698</v>
      </c>
      <c r="J28" s="18">
        <f t="shared" si="2"/>
        <v>82.332749658349698</v>
      </c>
      <c r="K28" s="20"/>
      <c r="L28" s="20"/>
      <c r="N28" s="28">
        <f t="shared" si="3"/>
        <v>38492554.399999999</v>
      </c>
      <c r="O28" s="28">
        <f t="shared" si="3"/>
        <v>0</v>
      </c>
      <c r="P28" s="35">
        <f t="shared" si="4"/>
        <v>0</v>
      </c>
      <c r="Q28" s="29">
        <f t="shared" si="5"/>
        <v>0</v>
      </c>
      <c r="R28" s="29"/>
      <c r="S28" s="29">
        <f t="shared" si="6"/>
        <v>302157.8979416209</v>
      </c>
      <c r="T28" s="57">
        <f t="shared" si="7"/>
        <v>38794712.297941618</v>
      </c>
      <c r="U28" s="39">
        <f t="shared" si="8"/>
        <v>3.6374150537998911</v>
      </c>
      <c r="V28" s="40">
        <f t="shared" si="8"/>
        <v>0</v>
      </c>
      <c r="W28" s="40">
        <f t="shared" si="8"/>
        <v>0</v>
      </c>
      <c r="X28" s="40">
        <f t="shared" si="8"/>
        <v>0</v>
      </c>
      <c r="Y28" s="40">
        <f t="shared" si="0"/>
        <v>0</v>
      </c>
      <c r="Z28" s="40">
        <f t="shared" si="0"/>
        <v>2.8552890389560198E-2</v>
      </c>
      <c r="AA28" s="41">
        <f t="shared" si="9"/>
        <v>3.6659679441894513</v>
      </c>
      <c r="AB28" s="42">
        <v>8</v>
      </c>
      <c r="AC28" s="43">
        <f t="shared" si="10"/>
        <v>13.439320967824631</v>
      </c>
    </row>
    <row r="29" spans="1:29" x14ac:dyDescent="0.25">
      <c r="A29" s="12">
        <f t="shared" si="11"/>
        <v>2047</v>
      </c>
      <c r="B29" s="18">
        <f>[2]Inputs!$C122</f>
        <v>0</v>
      </c>
      <c r="C29" s="19">
        <f>[2]Inputs!$D122</f>
        <v>0</v>
      </c>
      <c r="D29" s="18">
        <f>[2]Inputs!$F122</f>
        <v>0</v>
      </c>
      <c r="E29" s="19"/>
      <c r="F29" s="18">
        <f t="shared" si="1"/>
        <v>0</v>
      </c>
      <c r="G29" s="19">
        <f>'[1]Resumen-Total'!$C67</f>
        <v>0</v>
      </c>
      <c r="H29" s="18">
        <f>'[1]Resumen Externa'!$I36</f>
        <v>0</v>
      </c>
      <c r="I29" s="19">
        <f>'[1]Resumen-Total'!$J67</f>
        <v>76.642475518619975</v>
      </c>
      <c r="J29" s="18">
        <f t="shared" si="2"/>
        <v>76.642475518619975</v>
      </c>
      <c r="K29" s="20"/>
      <c r="L29" s="20"/>
      <c r="N29" s="28">
        <f t="shared" si="3"/>
        <v>0</v>
      </c>
      <c r="O29" s="28">
        <f t="shared" si="3"/>
        <v>0</v>
      </c>
      <c r="P29" s="35">
        <f t="shared" si="4"/>
        <v>0</v>
      </c>
      <c r="Q29" s="29">
        <f t="shared" si="5"/>
        <v>0</v>
      </c>
      <c r="R29" s="29"/>
      <c r="S29" s="29">
        <f t="shared" si="6"/>
        <v>281274.81945940078</v>
      </c>
      <c r="T29" s="57">
        <f t="shared" si="7"/>
        <v>281274.81945940078</v>
      </c>
      <c r="U29" s="39">
        <f t="shared" si="8"/>
        <v>0</v>
      </c>
      <c r="V29" s="40">
        <f t="shared" si="8"/>
        <v>0</v>
      </c>
      <c r="W29" s="40">
        <f t="shared" si="8"/>
        <v>0</v>
      </c>
      <c r="X29" s="40">
        <f t="shared" si="8"/>
        <v>0</v>
      </c>
      <c r="Y29" s="40">
        <f t="shared" si="0"/>
        <v>0</v>
      </c>
      <c r="Z29" s="40">
        <f t="shared" si="0"/>
        <v>2.6579510726273622E-2</v>
      </c>
      <c r="AA29" s="41">
        <f t="shared" si="9"/>
        <v>2.6579510726273622E-2</v>
      </c>
      <c r="AB29" s="42">
        <v>8</v>
      </c>
      <c r="AC29" s="43">
        <f t="shared" si="10"/>
        <v>7.0647039044809449E-4</v>
      </c>
    </row>
    <row r="30" spans="1:29" x14ac:dyDescent="0.25">
      <c r="A30" s="12">
        <f t="shared" si="11"/>
        <v>2048</v>
      </c>
      <c r="B30" s="18">
        <f>[2]Inputs!$C123</f>
        <v>0</v>
      </c>
      <c r="C30" s="19">
        <f>[2]Inputs!$D123</f>
        <v>0</v>
      </c>
      <c r="D30" s="18">
        <f>[2]Inputs!$F123</f>
        <v>0</v>
      </c>
      <c r="E30" s="19"/>
      <c r="F30" s="18">
        <f t="shared" si="1"/>
        <v>0</v>
      </c>
      <c r="G30" s="19">
        <f>'[1]Resumen-Total'!$C68</f>
        <v>0</v>
      </c>
      <c r="H30" s="18">
        <f>'[1]Resumen Externa'!$I37</f>
        <v>0</v>
      </c>
      <c r="I30" s="19">
        <f>'[1]Resumen-Total'!$J68</f>
        <v>76.031587844295643</v>
      </c>
      <c r="J30" s="18">
        <f t="shared" si="2"/>
        <v>76.031587844295643</v>
      </c>
      <c r="K30" s="20"/>
      <c r="L30" s="20"/>
      <c r="N30" s="28">
        <f t="shared" si="3"/>
        <v>0</v>
      </c>
      <c r="O30" s="28">
        <f t="shared" si="3"/>
        <v>0</v>
      </c>
      <c r="P30" s="35">
        <f t="shared" si="4"/>
        <v>0</v>
      </c>
      <c r="Q30" s="29">
        <f t="shared" si="5"/>
        <v>0</v>
      </c>
      <c r="R30" s="29"/>
      <c r="S30" s="29">
        <f t="shared" si="6"/>
        <v>279032.88613009691</v>
      </c>
      <c r="T30" s="57">
        <f t="shared" si="7"/>
        <v>279032.88613009691</v>
      </c>
      <c r="U30" s="39">
        <f t="shared" si="8"/>
        <v>0</v>
      </c>
      <c r="V30" s="40">
        <f t="shared" si="8"/>
        <v>0</v>
      </c>
      <c r="W30" s="40">
        <f t="shared" si="8"/>
        <v>0</v>
      </c>
      <c r="X30" s="40">
        <f t="shared" si="8"/>
        <v>0</v>
      </c>
      <c r="Y30" s="40">
        <f t="shared" si="0"/>
        <v>0</v>
      </c>
      <c r="Z30" s="40">
        <f t="shared" si="0"/>
        <v>2.6367655676154487E-2</v>
      </c>
      <c r="AA30" s="41">
        <f t="shared" si="9"/>
        <v>2.6367655676154487E-2</v>
      </c>
      <c r="AB30" s="42">
        <v>8</v>
      </c>
      <c r="AC30" s="43">
        <f t="shared" si="10"/>
        <v>6.9525326585624192E-4</v>
      </c>
    </row>
    <row r="31" spans="1:29" x14ac:dyDescent="0.25">
      <c r="A31" s="12">
        <f t="shared" si="11"/>
        <v>2049</v>
      </c>
      <c r="B31" s="18">
        <f>[2]Inputs!$C124</f>
        <v>0</v>
      </c>
      <c r="C31" s="19">
        <f>[2]Inputs!$D124</f>
        <v>0</v>
      </c>
      <c r="D31" s="18">
        <f>[2]Inputs!$F124</f>
        <v>32696868.405260399</v>
      </c>
      <c r="E31" s="19"/>
      <c r="F31" s="18">
        <f t="shared" si="1"/>
        <v>0</v>
      </c>
      <c r="G31" s="19">
        <f>'[1]Resumen-Total'!$C69</f>
        <v>32696868.405260399</v>
      </c>
      <c r="H31" s="18">
        <f>'[1]Resumen Externa'!$I38</f>
        <v>2168.4830000000002</v>
      </c>
      <c r="I31" s="19">
        <f>'[1]Resumen-Total'!$J69</f>
        <v>2242.6280844777411</v>
      </c>
      <c r="J31" s="18">
        <f t="shared" si="2"/>
        <v>74.145084477740966</v>
      </c>
      <c r="K31" s="20"/>
      <c r="L31" s="20"/>
      <c r="N31" s="28">
        <f t="shared" si="3"/>
        <v>0</v>
      </c>
      <c r="O31" s="28">
        <f t="shared" si="3"/>
        <v>32696868.405260399</v>
      </c>
      <c r="P31" s="35">
        <f t="shared" si="4"/>
        <v>0</v>
      </c>
      <c r="Q31" s="29">
        <f t="shared" si="5"/>
        <v>7958245.8708239067</v>
      </c>
      <c r="R31" s="29"/>
      <c r="S31" s="29">
        <f t="shared" si="6"/>
        <v>272109.49423485069</v>
      </c>
      <c r="T31" s="57">
        <f t="shared" si="7"/>
        <v>40927223.770319156</v>
      </c>
      <c r="U31" s="39">
        <f t="shared" si="8"/>
        <v>0</v>
      </c>
      <c r="V31" s="40">
        <f t="shared" si="8"/>
        <v>3.0897425022385168</v>
      </c>
      <c r="W31" s="40">
        <f t="shared" si="8"/>
        <v>0</v>
      </c>
      <c r="X31" s="40">
        <f t="shared" si="8"/>
        <v>0.75202708117431938</v>
      </c>
      <c r="Y31" s="40">
        <f t="shared" si="0"/>
        <v>0</v>
      </c>
      <c r="Z31" s="40">
        <f t="shared" si="0"/>
        <v>2.5713418764739617E-2</v>
      </c>
      <c r="AA31" s="41">
        <f t="shared" si="9"/>
        <v>3.8674830021775755</v>
      </c>
      <c r="AB31" s="42">
        <v>8</v>
      </c>
      <c r="AC31" s="43">
        <f t="shared" si="10"/>
        <v>14.957424772132471</v>
      </c>
    </row>
    <row r="32" spans="1:29" x14ac:dyDescent="0.25">
      <c r="A32" s="12">
        <f t="shared" si="11"/>
        <v>2050</v>
      </c>
      <c r="B32" s="18">
        <f>[2]Inputs!$C125</f>
        <v>0</v>
      </c>
      <c r="C32" s="19">
        <f>[2]Inputs!$D125</f>
        <v>21893239.399999999</v>
      </c>
      <c r="D32" s="18">
        <f>[2]Inputs!$F125</f>
        <v>0</v>
      </c>
      <c r="E32" s="19"/>
      <c r="F32" s="18">
        <f t="shared" si="1"/>
        <v>0</v>
      </c>
      <c r="G32" s="19">
        <f>'[1]Resumen-Total'!$C70</f>
        <v>21893239.399999999</v>
      </c>
      <c r="H32" s="18">
        <f>'[1]Resumen Externa'!$I39</f>
        <v>0</v>
      </c>
      <c r="I32" s="19">
        <f>'[1]Resumen-Total'!$J70</f>
        <v>60.634484801390052</v>
      </c>
      <c r="J32" s="18">
        <f t="shared" si="2"/>
        <v>60.634484801390052</v>
      </c>
      <c r="K32" s="20"/>
      <c r="L32" s="20"/>
      <c r="N32" s="28">
        <f t="shared" si="3"/>
        <v>21893239.399999999</v>
      </c>
      <c r="O32" s="28">
        <f t="shared" si="3"/>
        <v>0</v>
      </c>
      <c r="P32" s="35">
        <f t="shared" si="4"/>
        <v>0</v>
      </c>
      <c r="Q32" s="29">
        <f t="shared" si="5"/>
        <v>0</v>
      </c>
      <c r="R32" s="29"/>
      <c r="S32" s="29">
        <f t="shared" si="6"/>
        <v>222526.1338457333</v>
      </c>
      <c r="T32" s="57">
        <f t="shared" si="7"/>
        <v>22115765.53384573</v>
      </c>
      <c r="U32" s="39">
        <f t="shared" si="8"/>
        <v>2.0688364233371037</v>
      </c>
      <c r="V32" s="40">
        <f t="shared" si="8"/>
        <v>0</v>
      </c>
      <c r="W32" s="40">
        <f t="shared" si="8"/>
        <v>0</v>
      </c>
      <c r="X32" s="40">
        <f t="shared" si="8"/>
        <v>0</v>
      </c>
      <c r="Y32" s="40">
        <f t="shared" si="0"/>
        <v>0</v>
      </c>
      <c r="Z32" s="40">
        <f t="shared" si="0"/>
        <v>2.1027960386914717E-2</v>
      </c>
      <c r="AA32" s="41">
        <f t="shared" si="9"/>
        <v>2.0898643837240183</v>
      </c>
      <c r="AB32" s="42">
        <v>8</v>
      </c>
      <c r="AC32" s="43">
        <f t="shared" si="10"/>
        <v>4.3675331423581705</v>
      </c>
    </row>
    <row r="33" spans="1:29" x14ac:dyDescent="0.25">
      <c r="A33" s="12">
        <f t="shared" si="11"/>
        <v>2051</v>
      </c>
      <c r="B33" s="18">
        <f>[2]Inputs!$C126</f>
        <v>0</v>
      </c>
      <c r="C33" s="19">
        <f>[2]Inputs!$D126</f>
        <v>0</v>
      </c>
      <c r="D33" s="18">
        <f>[2]Inputs!$F126</f>
        <v>0</v>
      </c>
      <c r="E33" s="19"/>
      <c r="F33" s="18">
        <f t="shared" si="1"/>
        <v>0</v>
      </c>
      <c r="G33" s="19">
        <f>'[1]Resumen-Total'!$C71</f>
        <v>0</v>
      </c>
      <c r="H33" s="18">
        <f>'[1]Resumen Externa'!$I40</f>
        <v>1035.7260000000001</v>
      </c>
      <c r="I33" s="19">
        <f>'[1]Resumen-Total'!$J71</f>
        <v>1083.4506296887371</v>
      </c>
      <c r="J33" s="18">
        <f t="shared" si="2"/>
        <v>47.724629688736968</v>
      </c>
      <c r="K33" s="20"/>
      <c r="L33" s="20"/>
      <c r="N33" s="28">
        <f t="shared" si="3"/>
        <v>0</v>
      </c>
      <c r="O33" s="28">
        <f t="shared" si="3"/>
        <v>0</v>
      </c>
      <c r="P33" s="35">
        <f t="shared" si="4"/>
        <v>0</v>
      </c>
      <c r="Q33" s="29">
        <f t="shared" si="5"/>
        <v>3801072.991028734</v>
      </c>
      <c r="R33" s="29"/>
      <c r="S33" s="29">
        <f t="shared" si="6"/>
        <v>175147.48197564424</v>
      </c>
      <c r="T33" s="57">
        <f t="shared" si="7"/>
        <v>3976220.4730043784</v>
      </c>
      <c r="U33" s="39">
        <f t="shared" si="8"/>
        <v>0</v>
      </c>
      <c r="V33" s="40">
        <f t="shared" si="8"/>
        <v>0</v>
      </c>
      <c r="W33" s="40">
        <f t="shared" si="8"/>
        <v>0</v>
      </c>
      <c r="X33" s="40">
        <f t="shared" si="8"/>
        <v>0.35918842835122672</v>
      </c>
      <c r="Y33" s="40">
        <f t="shared" si="0"/>
        <v>0</v>
      </c>
      <c r="Z33" s="40">
        <f t="shared" si="0"/>
        <v>1.6550839441649354E-2</v>
      </c>
      <c r="AA33" s="41">
        <f t="shared" si="9"/>
        <v>0.37573926779287609</v>
      </c>
      <c r="AB33" s="42">
        <v>8</v>
      </c>
      <c r="AC33" s="43">
        <f t="shared" si="10"/>
        <v>0.14117999736152664</v>
      </c>
    </row>
    <row r="34" spans="1:29" x14ac:dyDescent="0.25">
      <c r="A34" s="12">
        <f t="shared" si="11"/>
        <v>2052</v>
      </c>
      <c r="B34" s="18">
        <f>[2]Inputs!$C127</f>
        <v>0</v>
      </c>
      <c r="C34" s="19">
        <f>[2]Inputs!$D127</f>
        <v>0</v>
      </c>
      <c r="D34" s="18">
        <f>[2]Inputs!$F127</f>
        <v>0</v>
      </c>
      <c r="E34" s="19"/>
      <c r="F34" s="18">
        <f t="shared" si="1"/>
        <v>0</v>
      </c>
      <c r="G34" s="19">
        <f>'[1]Resumen-Total'!$C72</f>
        <v>0</v>
      </c>
      <c r="H34" s="18">
        <f>'[1]Resumen Externa'!$I41</f>
        <v>0</v>
      </c>
      <c r="I34" s="19">
        <f>'[1]Resumen-Total'!$J72</f>
        <v>47.724629688736989</v>
      </c>
      <c r="J34" s="18">
        <f t="shared" si="2"/>
        <v>47.724629688736989</v>
      </c>
      <c r="K34" s="20"/>
      <c r="L34" s="20"/>
      <c r="N34" s="28">
        <f t="shared" si="3"/>
        <v>0</v>
      </c>
      <c r="O34" s="28">
        <f t="shared" si="3"/>
        <v>0</v>
      </c>
      <c r="P34" s="35">
        <f t="shared" si="4"/>
        <v>0</v>
      </c>
      <c r="Q34" s="29">
        <f t="shared" si="5"/>
        <v>0</v>
      </c>
      <c r="R34" s="29"/>
      <c r="S34" s="29">
        <f t="shared" si="6"/>
        <v>175147.48197564433</v>
      </c>
      <c r="T34" s="57">
        <f t="shared" si="7"/>
        <v>175147.48197564433</v>
      </c>
      <c r="U34" s="39">
        <f t="shared" si="8"/>
        <v>0</v>
      </c>
      <c r="V34" s="40">
        <f t="shared" si="8"/>
        <v>0</v>
      </c>
      <c r="W34" s="40">
        <f t="shared" si="8"/>
        <v>0</v>
      </c>
      <c r="X34" s="40">
        <f t="shared" si="8"/>
        <v>0</v>
      </c>
      <c r="Y34" s="40">
        <f t="shared" si="0"/>
        <v>0</v>
      </c>
      <c r="Z34" s="40">
        <f t="shared" si="0"/>
        <v>1.6550839441649364E-2</v>
      </c>
      <c r="AA34" s="41">
        <f t="shared" si="9"/>
        <v>1.6550839441649364E-2</v>
      </c>
      <c r="AB34" s="42">
        <v>8</v>
      </c>
      <c r="AC34" s="43">
        <f t="shared" si="10"/>
        <v>2.7393028622325622E-4</v>
      </c>
    </row>
    <row r="35" spans="1:29" x14ac:dyDescent="0.25">
      <c r="A35" s="12">
        <f t="shared" si="11"/>
        <v>2053</v>
      </c>
      <c r="B35" s="18">
        <f>[2]Inputs!$C128</f>
        <v>0</v>
      </c>
      <c r="C35" s="19">
        <f>[2]Inputs!$D128</f>
        <v>0</v>
      </c>
      <c r="D35" s="18">
        <f>[2]Inputs!$F128</f>
        <v>0</v>
      </c>
      <c r="E35" s="19"/>
      <c r="F35" s="18">
        <f t="shared" si="1"/>
        <v>0</v>
      </c>
      <c r="G35" s="19">
        <f>'[1]Resumen-Total'!$C73</f>
        <v>0</v>
      </c>
      <c r="H35" s="18">
        <f>'[1]Resumen Externa'!$I42</f>
        <v>845.375</v>
      </c>
      <c r="I35" s="19">
        <f>'[1]Resumen-Total'!$J73</f>
        <v>893.09962968873697</v>
      </c>
      <c r="J35" s="18">
        <f t="shared" si="2"/>
        <v>47.724629688736968</v>
      </c>
      <c r="K35" s="20"/>
      <c r="L35" s="20"/>
      <c r="N35" s="28">
        <f t="shared" si="3"/>
        <v>0</v>
      </c>
      <c r="O35" s="28">
        <f t="shared" si="3"/>
        <v>0</v>
      </c>
      <c r="P35" s="35">
        <f t="shared" si="4"/>
        <v>0</v>
      </c>
      <c r="Q35" s="29">
        <f t="shared" si="5"/>
        <v>3102492.4350561015</v>
      </c>
      <c r="R35" s="29"/>
      <c r="S35" s="29">
        <f t="shared" si="6"/>
        <v>175147.48197564424</v>
      </c>
      <c r="T35" s="57">
        <f t="shared" si="7"/>
        <v>3277639.9170317459</v>
      </c>
      <c r="U35" s="39">
        <f t="shared" si="8"/>
        <v>0</v>
      </c>
      <c r="V35" s="40">
        <f t="shared" si="8"/>
        <v>0</v>
      </c>
      <c r="W35" s="40">
        <f t="shared" si="8"/>
        <v>0</v>
      </c>
      <c r="X35" s="40">
        <f t="shared" si="8"/>
        <v>0.29317494937601085</v>
      </c>
      <c r="Y35" s="40">
        <f t="shared" si="0"/>
        <v>0</v>
      </c>
      <c r="Z35" s="40">
        <f t="shared" si="0"/>
        <v>1.6550839441649354E-2</v>
      </c>
      <c r="AA35" s="41">
        <f t="shared" si="9"/>
        <v>0.30972578881766022</v>
      </c>
      <c r="AB35" s="42">
        <v>8</v>
      </c>
      <c r="AC35" s="43">
        <f t="shared" si="10"/>
        <v>9.5930064258721859E-2</v>
      </c>
    </row>
    <row r="36" spans="1:29" x14ac:dyDescent="0.25">
      <c r="A36" s="12">
        <f t="shared" si="11"/>
        <v>2054</v>
      </c>
      <c r="B36" s="18">
        <f>[2]Inputs!$C129</f>
        <v>0</v>
      </c>
      <c r="C36" s="19">
        <f>[2]Inputs!$D129</f>
        <v>0</v>
      </c>
      <c r="D36" s="18">
        <f>[2]Inputs!$F129</f>
        <v>0</v>
      </c>
      <c r="E36" s="19"/>
      <c r="F36" s="18">
        <f t="shared" si="1"/>
        <v>0</v>
      </c>
      <c r="G36" s="19">
        <f>'[1]Resumen-Total'!$C74</f>
        <v>0</v>
      </c>
      <c r="H36" s="18">
        <f>'[1]Resumen Externa'!$I43</f>
        <v>1640</v>
      </c>
      <c r="I36" s="19">
        <f>'[1]Resumen-Total'!$J74</f>
        <v>1687.724629688737</v>
      </c>
      <c r="J36" s="18">
        <f t="shared" si="2"/>
        <v>47.724629688736968</v>
      </c>
      <c r="K36" s="20"/>
      <c r="L36" s="20"/>
      <c r="N36" s="28">
        <f t="shared" si="3"/>
        <v>0</v>
      </c>
      <c r="O36" s="28">
        <f t="shared" si="3"/>
        <v>0</v>
      </c>
      <c r="P36" s="35">
        <f t="shared" si="4"/>
        <v>0</v>
      </c>
      <c r="Q36" s="29">
        <f t="shared" si="5"/>
        <v>6018734.4001088347</v>
      </c>
      <c r="R36" s="29"/>
      <c r="S36" s="29">
        <f t="shared" si="6"/>
        <v>175147.48197564424</v>
      </c>
      <c r="T36" s="57">
        <f t="shared" si="7"/>
        <v>6193881.8820844786</v>
      </c>
      <c r="U36" s="39">
        <f t="shared" si="8"/>
        <v>0</v>
      </c>
      <c r="V36" s="40">
        <f t="shared" si="8"/>
        <v>0</v>
      </c>
      <c r="W36" s="40">
        <f t="shared" si="8"/>
        <v>0</v>
      </c>
      <c r="X36" s="40">
        <f t="shared" si="8"/>
        <v>0.56874986482526435</v>
      </c>
      <c r="Y36" s="40">
        <f t="shared" si="0"/>
        <v>0</v>
      </c>
      <c r="Z36" s="40">
        <f t="shared" si="0"/>
        <v>1.6550839441649354E-2</v>
      </c>
      <c r="AA36" s="41">
        <f t="shared" si="9"/>
        <v>0.58530070426691372</v>
      </c>
      <c r="AB36" s="42">
        <v>8</v>
      </c>
      <c r="AC36" s="43">
        <f t="shared" si="10"/>
        <v>0.34257691441534521</v>
      </c>
    </row>
    <row r="37" spans="1:29" x14ac:dyDescent="0.25">
      <c r="A37" s="12">
        <f t="shared" si="11"/>
        <v>2055</v>
      </c>
      <c r="B37" s="18">
        <f>[2]Inputs!$C130</f>
        <v>0</v>
      </c>
      <c r="C37" s="19">
        <f>[2]Inputs!$D130</f>
        <v>0</v>
      </c>
      <c r="D37" s="18">
        <f>[2]Inputs!$F130</f>
        <v>10939379.465762001</v>
      </c>
      <c r="E37" s="19"/>
      <c r="F37" s="18">
        <f t="shared" si="1"/>
        <v>0</v>
      </c>
      <c r="G37" s="19">
        <f>'[1]Resumen-Total'!$C75</f>
        <v>10939379.465762001</v>
      </c>
      <c r="H37" s="18">
        <f>'[1]Resumen Externa'!$I44</f>
        <v>0</v>
      </c>
      <c r="I37" s="19">
        <f>'[1]Resumen-Total'!$J75</f>
        <v>47.724629688736989</v>
      </c>
      <c r="J37" s="18">
        <f t="shared" si="2"/>
        <v>47.724629688736989</v>
      </c>
      <c r="K37" s="20"/>
      <c r="L37" s="20"/>
      <c r="N37" s="28">
        <f t="shared" si="3"/>
        <v>0</v>
      </c>
      <c r="O37" s="28">
        <f t="shared" si="3"/>
        <v>10939379.465762001</v>
      </c>
      <c r="P37" s="35">
        <f t="shared" si="4"/>
        <v>0</v>
      </c>
      <c r="Q37" s="29">
        <f t="shared" si="5"/>
        <v>0</v>
      </c>
      <c r="R37" s="29"/>
      <c r="S37" s="29">
        <f t="shared" si="6"/>
        <v>175147.48197564433</v>
      </c>
      <c r="T37" s="57">
        <f t="shared" si="7"/>
        <v>11114526.947737645</v>
      </c>
      <c r="U37" s="39">
        <f t="shared" si="8"/>
        <v>0</v>
      </c>
      <c r="V37" s="40">
        <f t="shared" si="8"/>
        <v>1.0337340342368162</v>
      </c>
      <c r="W37" s="40">
        <f t="shared" si="8"/>
        <v>0</v>
      </c>
      <c r="X37" s="40">
        <f t="shared" si="8"/>
        <v>0</v>
      </c>
      <c r="Y37" s="40">
        <f t="shared" si="0"/>
        <v>0</v>
      </c>
      <c r="Z37" s="40">
        <f t="shared" si="0"/>
        <v>1.6550839441649364E-2</v>
      </c>
      <c r="AA37" s="41">
        <f t="shared" si="9"/>
        <v>1.0502848736784656</v>
      </c>
      <c r="AB37" s="42">
        <v>8</v>
      </c>
      <c r="AC37" s="43">
        <f t="shared" si="10"/>
        <v>1.1030983158777903</v>
      </c>
    </row>
    <row r="38" spans="1:29" x14ac:dyDescent="0.25">
      <c r="A38" s="12">
        <f t="shared" si="11"/>
        <v>2056</v>
      </c>
      <c r="B38" s="18">
        <f>[2]Inputs!$C131</f>
        <v>0</v>
      </c>
      <c r="C38" s="19">
        <f>[2]Inputs!$D131</f>
        <v>0</v>
      </c>
      <c r="D38" s="18">
        <f>[2]Inputs!$F131</f>
        <v>0</v>
      </c>
      <c r="E38" s="19"/>
      <c r="F38" s="18">
        <f t="shared" si="1"/>
        <v>0</v>
      </c>
      <c r="G38" s="19">
        <f>'[1]Resumen-Total'!$C76</f>
        <v>0</v>
      </c>
      <c r="H38" s="18">
        <f>'[1]Resumen Externa'!$I45</f>
        <v>0</v>
      </c>
      <c r="I38" s="19">
        <f>'[1]Resumen-Total'!$J76</f>
        <v>47.724629688736989</v>
      </c>
      <c r="J38" s="18">
        <f t="shared" si="2"/>
        <v>47.724629688736989</v>
      </c>
      <c r="K38" s="20"/>
      <c r="L38" s="20"/>
      <c r="N38" s="28">
        <f t="shared" si="3"/>
        <v>0</v>
      </c>
      <c r="O38" s="28">
        <f t="shared" si="3"/>
        <v>0</v>
      </c>
      <c r="P38" s="35">
        <f t="shared" si="4"/>
        <v>0</v>
      </c>
      <c r="Q38" s="29">
        <f t="shared" si="5"/>
        <v>0</v>
      </c>
      <c r="R38" s="29"/>
      <c r="S38" s="29">
        <f t="shared" si="6"/>
        <v>175147.48197564433</v>
      </c>
      <c r="T38" s="57">
        <f t="shared" si="7"/>
        <v>175147.48197564433</v>
      </c>
      <c r="U38" s="39">
        <f t="shared" si="8"/>
        <v>0</v>
      </c>
      <c r="V38" s="40">
        <f t="shared" si="8"/>
        <v>0</v>
      </c>
      <c r="W38" s="40">
        <f t="shared" si="8"/>
        <v>0</v>
      </c>
      <c r="X38" s="40">
        <f t="shared" si="8"/>
        <v>0</v>
      </c>
      <c r="Y38" s="40">
        <f t="shared" si="0"/>
        <v>0</v>
      </c>
      <c r="Z38" s="40">
        <f t="shared" si="0"/>
        <v>1.6550839441649364E-2</v>
      </c>
      <c r="AA38" s="41">
        <f t="shared" si="9"/>
        <v>1.6550839441649364E-2</v>
      </c>
      <c r="AB38" s="42">
        <v>8</v>
      </c>
      <c r="AC38" s="43">
        <f t="shared" si="10"/>
        <v>2.7393028622325622E-4</v>
      </c>
    </row>
    <row r="39" spans="1:29" x14ac:dyDescent="0.25">
      <c r="A39" s="12">
        <f t="shared" si="11"/>
        <v>2057</v>
      </c>
      <c r="B39" s="18">
        <f>[2]Inputs!$C132</f>
        <v>0</v>
      </c>
      <c r="C39" s="19">
        <f>[2]Inputs!$D132</f>
        <v>0</v>
      </c>
      <c r="D39" s="18">
        <f>[2]Inputs!$F132</f>
        <v>0</v>
      </c>
      <c r="E39" s="19"/>
      <c r="F39" s="18">
        <f t="shared" si="1"/>
        <v>0</v>
      </c>
      <c r="G39" s="19">
        <f>'[1]Resumen-Total'!$C77</f>
        <v>0</v>
      </c>
      <c r="H39" s="18">
        <f>'[1]Resumen Externa'!$I46</f>
        <v>0</v>
      </c>
      <c r="I39" s="19">
        <f>'[1]Resumen-Total'!$J77</f>
        <v>47.724629688736989</v>
      </c>
      <c r="J39" s="18">
        <f t="shared" si="2"/>
        <v>47.724629688736989</v>
      </c>
      <c r="K39" s="20"/>
      <c r="L39" s="20"/>
      <c r="N39" s="28">
        <f t="shared" si="3"/>
        <v>0</v>
      </c>
      <c r="O39" s="28">
        <f t="shared" si="3"/>
        <v>0</v>
      </c>
      <c r="P39" s="35">
        <f t="shared" si="4"/>
        <v>0</v>
      </c>
      <c r="Q39" s="29">
        <f t="shared" si="5"/>
        <v>0</v>
      </c>
      <c r="R39" s="29"/>
      <c r="S39" s="29">
        <f t="shared" si="6"/>
        <v>175147.48197564433</v>
      </c>
      <c r="T39" s="57">
        <f t="shared" si="7"/>
        <v>175147.48197564433</v>
      </c>
      <c r="U39" s="39">
        <f t="shared" si="8"/>
        <v>0</v>
      </c>
      <c r="V39" s="40">
        <f t="shared" si="8"/>
        <v>0</v>
      </c>
      <c r="W39" s="40">
        <f t="shared" si="8"/>
        <v>0</v>
      </c>
      <c r="X39" s="40">
        <f t="shared" si="8"/>
        <v>0</v>
      </c>
      <c r="Y39" s="40">
        <f t="shared" si="0"/>
        <v>0</v>
      </c>
      <c r="Z39" s="40">
        <f t="shared" si="0"/>
        <v>1.6550839441649364E-2</v>
      </c>
      <c r="AA39" s="41">
        <f t="shared" si="9"/>
        <v>1.6550839441649364E-2</v>
      </c>
      <c r="AB39" s="42">
        <v>8</v>
      </c>
      <c r="AC39" s="43">
        <f t="shared" si="10"/>
        <v>2.7393028622325622E-4</v>
      </c>
    </row>
    <row r="40" spans="1:29" x14ac:dyDescent="0.25">
      <c r="A40" s="12">
        <f t="shared" si="11"/>
        <v>2058</v>
      </c>
      <c r="B40" s="18">
        <f>[2]Inputs!$C133</f>
        <v>0</v>
      </c>
      <c r="C40" s="19">
        <f>[2]Inputs!$D133</f>
        <v>10528649.5</v>
      </c>
      <c r="D40" s="18">
        <f>[2]Inputs!$F133</f>
        <v>0</v>
      </c>
      <c r="E40" s="19"/>
      <c r="F40" s="18">
        <f t="shared" si="1"/>
        <v>0</v>
      </c>
      <c r="G40" s="19">
        <f>'[1]Resumen-Total'!$C78</f>
        <v>10528649.5</v>
      </c>
      <c r="H40" s="18">
        <f>'[1]Resumen Externa'!$I47</f>
        <v>0</v>
      </c>
      <c r="I40" s="19">
        <f>'[1]Resumen-Total'!$J78</f>
        <v>47.724629688736989</v>
      </c>
      <c r="J40" s="18">
        <f t="shared" si="2"/>
        <v>47.724629688736989</v>
      </c>
      <c r="K40" s="20"/>
      <c r="L40" s="20"/>
      <c r="N40" s="28">
        <f t="shared" si="3"/>
        <v>10528649.5</v>
      </c>
      <c r="O40" s="28">
        <f t="shared" si="3"/>
        <v>0</v>
      </c>
      <c r="P40" s="35">
        <f t="shared" si="4"/>
        <v>0</v>
      </c>
      <c r="Q40" s="29">
        <f t="shared" si="5"/>
        <v>0</v>
      </c>
      <c r="R40" s="29"/>
      <c r="S40" s="29">
        <f t="shared" si="6"/>
        <v>175147.48197564433</v>
      </c>
      <c r="T40" s="57">
        <f t="shared" si="7"/>
        <v>10703796.981975645</v>
      </c>
      <c r="U40" s="39">
        <f t="shared" si="8"/>
        <v>0.99492145388726649</v>
      </c>
      <c r="V40" s="40">
        <f t="shared" si="8"/>
        <v>0</v>
      </c>
      <c r="W40" s="40">
        <f t="shared" si="8"/>
        <v>0</v>
      </c>
      <c r="X40" s="40">
        <f t="shared" si="8"/>
        <v>0</v>
      </c>
      <c r="Y40" s="40">
        <f t="shared" si="0"/>
        <v>0</v>
      </c>
      <c r="Z40" s="40">
        <f t="shared" si="0"/>
        <v>1.6550839441649364E-2</v>
      </c>
      <c r="AA40" s="41">
        <f t="shared" si="9"/>
        <v>1.0114722933289158</v>
      </c>
      <c r="AB40" s="42">
        <v>8</v>
      </c>
      <c r="AC40" s="43">
        <f t="shared" si="10"/>
        <v>1.0230762001720561</v>
      </c>
    </row>
    <row r="41" spans="1:29" x14ac:dyDescent="0.25">
      <c r="A41" s="12">
        <f t="shared" si="11"/>
        <v>2059</v>
      </c>
      <c r="B41" s="18">
        <f>[2]Inputs!$C134</f>
        <v>0</v>
      </c>
      <c r="C41" s="19">
        <f>[2]Inputs!$D134</f>
        <v>0</v>
      </c>
      <c r="D41" s="18">
        <f>[2]Inputs!$F134</f>
        <v>0</v>
      </c>
      <c r="E41" s="19"/>
      <c r="F41" s="18">
        <f t="shared" si="1"/>
        <v>0</v>
      </c>
      <c r="G41" s="19">
        <f>'[1]Resumen-Total'!$C79</f>
        <v>0</v>
      </c>
      <c r="H41" s="18">
        <f>'[1]Resumen Externa'!$I48</f>
        <v>0</v>
      </c>
      <c r="I41" s="19">
        <f>'[1]Resumen-Total'!$J79</f>
        <v>35.337724680434071</v>
      </c>
      <c r="J41" s="18">
        <f t="shared" si="2"/>
        <v>35.337724680434071</v>
      </c>
      <c r="K41" s="20"/>
      <c r="L41" s="20"/>
      <c r="N41" s="28">
        <f t="shared" si="3"/>
        <v>0</v>
      </c>
      <c r="O41" s="28">
        <f t="shared" si="3"/>
        <v>0</v>
      </c>
      <c r="P41" s="35">
        <f t="shared" si="4"/>
        <v>0</v>
      </c>
      <c r="Q41" s="29">
        <f t="shared" si="5"/>
        <v>0</v>
      </c>
      <c r="R41" s="29"/>
      <c r="S41" s="29">
        <f t="shared" si="6"/>
        <v>129688.03607055094</v>
      </c>
      <c r="T41" s="57">
        <f t="shared" si="7"/>
        <v>129688.03607055094</v>
      </c>
      <c r="U41" s="39">
        <f t="shared" si="8"/>
        <v>0</v>
      </c>
      <c r="V41" s="40">
        <f t="shared" si="8"/>
        <v>0</v>
      </c>
      <c r="W41" s="40">
        <f t="shared" si="8"/>
        <v>0</v>
      </c>
      <c r="X41" s="40">
        <f t="shared" si="8"/>
        <v>0</v>
      </c>
      <c r="Y41" s="40">
        <f t="shared" si="0"/>
        <v>0</v>
      </c>
      <c r="Z41" s="40">
        <f t="shared" si="0"/>
        <v>1.2255076911725173E-2</v>
      </c>
      <c r="AA41" s="41">
        <f t="shared" si="9"/>
        <v>1.2255076911725173E-2</v>
      </c>
      <c r="AB41" s="42">
        <v>8</v>
      </c>
      <c r="AC41" s="43">
        <f t="shared" si="10"/>
        <v>1.501869101122994E-4</v>
      </c>
    </row>
    <row r="42" spans="1:29" x14ac:dyDescent="0.25">
      <c r="A42" s="12">
        <f t="shared" si="11"/>
        <v>2060</v>
      </c>
      <c r="B42" s="18">
        <f>[2]Inputs!$C135</f>
        <v>0</v>
      </c>
      <c r="C42" s="19">
        <f>[2]Inputs!$D135</f>
        <v>0</v>
      </c>
      <c r="D42" s="18">
        <f>[2]Inputs!$F135</f>
        <v>0</v>
      </c>
      <c r="E42" s="19"/>
      <c r="F42" s="18">
        <f t="shared" si="1"/>
        <v>0</v>
      </c>
      <c r="G42" s="19">
        <f>'[1]Resumen-Total'!$C80</f>
        <v>0</v>
      </c>
      <c r="H42" s="18">
        <f>'[1]Resumen Externa'!$I49</f>
        <v>0</v>
      </c>
      <c r="I42" s="19">
        <f>'[1]Resumen-Total'!$J80</f>
        <v>0</v>
      </c>
      <c r="J42" s="18">
        <f t="shared" si="2"/>
        <v>0</v>
      </c>
      <c r="K42" s="20"/>
      <c r="L42" s="20"/>
      <c r="N42" s="28">
        <f t="shared" si="3"/>
        <v>0</v>
      </c>
      <c r="O42" s="28">
        <f t="shared" si="3"/>
        <v>0</v>
      </c>
      <c r="P42" s="35">
        <f t="shared" si="4"/>
        <v>0</v>
      </c>
      <c r="Q42" s="29">
        <f t="shared" si="5"/>
        <v>0</v>
      </c>
      <c r="R42" s="29"/>
      <c r="S42" s="29">
        <f t="shared" si="6"/>
        <v>0</v>
      </c>
      <c r="T42" s="57">
        <f t="shared" si="7"/>
        <v>0</v>
      </c>
      <c r="U42" s="39">
        <f t="shared" si="8"/>
        <v>0</v>
      </c>
      <c r="V42" s="40">
        <f t="shared" si="8"/>
        <v>0</v>
      </c>
      <c r="W42" s="40">
        <f t="shared" si="8"/>
        <v>0</v>
      </c>
      <c r="X42" s="40">
        <f t="shared" si="8"/>
        <v>0</v>
      </c>
      <c r="Y42" s="40">
        <f t="shared" si="0"/>
        <v>0</v>
      </c>
      <c r="Z42" s="40">
        <f t="shared" si="0"/>
        <v>0</v>
      </c>
      <c r="AA42" s="41">
        <f t="shared" si="9"/>
        <v>0</v>
      </c>
      <c r="AB42" s="42">
        <v>8</v>
      </c>
      <c r="AC42" s="43">
        <f t="shared" si="10"/>
        <v>0</v>
      </c>
    </row>
    <row r="43" spans="1:29" x14ac:dyDescent="0.25">
      <c r="A43" s="12">
        <f t="shared" si="11"/>
        <v>2061</v>
      </c>
      <c r="B43" s="18">
        <f>[2]Inputs!$C136</f>
        <v>0</v>
      </c>
      <c r="C43" s="19">
        <f>[2]Inputs!$D136</f>
        <v>0</v>
      </c>
      <c r="D43" s="18">
        <f>[2]Inputs!$F136</f>
        <v>0</v>
      </c>
      <c r="E43" s="19"/>
      <c r="F43" s="18">
        <f t="shared" si="1"/>
        <v>0</v>
      </c>
      <c r="G43" s="19">
        <f>'[1]Resumen-Total'!$C81</f>
        <v>0</v>
      </c>
      <c r="H43" s="18">
        <f>'[1]Resumen Externa'!$I50</f>
        <v>751.83500000000004</v>
      </c>
      <c r="I43" s="19">
        <f>'[1]Resumen-Total'!$J81</f>
        <v>751.83500000000004</v>
      </c>
      <c r="J43" s="18">
        <f t="shared" si="2"/>
        <v>0</v>
      </c>
      <c r="K43" s="20"/>
      <c r="L43" s="20"/>
      <c r="N43" s="28">
        <f t="shared" si="3"/>
        <v>0</v>
      </c>
      <c r="O43" s="28">
        <f t="shared" si="3"/>
        <v>0</v>
      </c>
      <c r="P43" s="35">
        <f t="shared" si="4"/>
        <v>0</v>
      </c>
      <c r="Q43" s="29">
        <f t="shared" si="5"/>
        <v>2759204.3766498938</v>
      </c>
      <c r="R43" s="29"/>
      <c r="S43" s="29">
        <f t="shared" si="6"/>
        <v>0</v>
      </c>
      <c r="T43" s="57">
        <f t="shared" si="7"/>
        <v>2759204.3766498938</v>
      </c>
      <c r="U43" s="39">
        <f t="shared" si="8"/>
        <v>0</v>
      </c>
      <c r="V43" s="40">
        <f t="shared" si="8"/>
        <v>0</v>
      </c>
      <c r="W43" s="40">
        <f t="shared" si="8"/>
        <v>0</v>
      </c>
      <c r="X43" s="40">
        <f t="shared" si="8"/>
        <v>0.26073539915908694</v>
      </c>
      <c r="Y43" s="40">
        <f t="shared" si="0"/>
        <v>0</v>
      </c>
      <c r="Z43" s="40">
        <f t="shared" si="0"/>
        <v>0</v>
      </c>
      <c r="AA43" s="41">
        <f t="shared" si="9"/>
        <v>0.26073539915908694</v>
      </c>
      <c r="AB43" s="42">
        <v>8</v>
      </c>
      <c r="AC43" s="43">
        <f t="shared" si="10"/>
        <v>6.7982948374648397E-2</v>
      </c>
    </row>
    <row r="44" spans="1:29" x14ac:dyDescent="0.25">
      <c r="A44" s="12">
        <f t="shared" si="11"/>
        <v>2062</v>
      </c>
      <c r="B44" s="18">
        <f>[2]Inputs!$C137</f>
        <v>0</v>
      </c>
      <c r="C44" s="19">
        <f>[2]Inputs!$D137</f>
        <v>0</v>
      </c>
      <c r="D44" s="18">
        <f>[2]Inputs!$F137</f>
        <v>22967601.6109672</v>
      </c>
      <c r="E44" s="19"/>
      <c r="F44" s="18">
        <f t="shared" si="1"/>
        <v>0</v>
      </c>
      <c r="G44" s="19">
        <f>'[1]Resumen-Total'!$C82</f>
        <v>22967601.6109672</v>
      </c>
      <c r="H44" s="18"/>
      <c r="I44" s="19"/>
      <c r="J44" s="18">
        <f t="shared" si="2"/>
        <v>0</v>
      </c>
      <c r="K44" s="20"/>
      <c r="L44" s="20"/>
      <c r="N44" s="28">
        <f t="shared" si="3"/>
        <v>0</v>
      </c>
      <c r="O44" s="28">
        <f t="shared" si="3"/>
        <v>22967601.6109672</v>
      </c>
      <c r="P44" s="35">
        <f t="shared" si="4"/>
        <v>0</v>
      </c>
      <c r="Q44" s="29">
        <f t="shared" si="5"/>
        <v>0</v>
      </c>
      <c r="R44" s="29"/>
      <c r="S44" s="29">
        <f t="shared" si="6"/>
        <v>0</v>
      </c>
      <c r="T44" s="57">
        <f t="shared" si="7"/>
        <v>22967601.6109672</v>
      </c>
      <c r="U44" s="39">
        <f t="shared" si="8"/>
        <v>0</v>
      </c>
      <c r="V44" s="40">
        <f t="shared" si="8"/>
        <v>2.1703599865383505</v>
      </c>
      <c r="W44" s="40">
        <f t="shared" si="8"/>
        <v>0</v>
      </c>
      <c r="X44" s="40">
        <f t="shared" si="8"/>
        <v>0</v>
      </c>
      <c r="Y44" s="40">
        <f t="shared" si="0"/>
        <v>0</v>
      </c>
      <c r="Z44" s="40">
        <f t="shared" si="0"/>
        <v>0</v>
      </c>
      <c r="AA44" s="41">
        <f t="shared" si="9"/>
        <v>2.1703599865383505</v>
      </c>
      <c r="AB44" s="42">
        <v>8</v>
      </c>
      <c r="AC44" s="43">
        <f t="shared" si="10"/>
        <v>4.7104624711667489</v>
      </c>
    </row>
    <row r="45" spans="1:29" x14ac:dyDescent="0.25">
      <c r="A45" s="12"/>
      <c r="B45" s="18"/>
      <c r="C45" s="19"/>
      <c r="D45" s="18"/>
      <c r="E45" s="19"/>
      <c r="F45" s="18"/>
      <c r="G45" s="19"/>
      <c r="H45" s="18"/>
      <c r="I45" s="19"/>
      <c r="J45" s="18"/>
      <c r="K45" s="20"/>
      <c r="L45" s="20"/>
      <c r="N45" s="28">
        <f t="shared" ref="N45:O47" si="12">C45</f>
        <v>0</v>
      </c>
      <c r="O45" s="28">
        <f t="shared" si="12"/>
        <v>0</v>
      </c>
      <c r="P45" s="35">
        <f t="shared" si="4"/>
        <v>0</v>
      </c>
      <c r="Q45" s="29">
        <f t="shared" si="5"/>
        <v>0</v>
      </c>
      <c r="R45" s="29"/>
      <c r="S45" s="29">
        <f t="shared" si="6"/>
        <v>0</v>
      </c>
      <c r="T45" s="57"/>
      <c r="U45" s="39">
        <f t="shared" ref="U45:X47" si="13">(N45/$S$3)*100</f>
        <v>0</v>
      </c>
      <c r="V45" s="40">
        <f t="shared" si="13"/>
        <v>0</v>
      </c>
      <c r="W45" s="40">
        <f t="shared" si="13"/>
        <v>0</v>
      </c>
      <c r="X45" s="40">
        <f t="shared" si="13"/>
        <v>0</v>
      </c>
      <c r="Y45" s="40">
        <f t="shared" si="0"/>
        <v>0</v>
      </c>
      <c r="Z45" s="40">
        <f t="shared" si="0"/>
        <v>0</v>
      </c>
      <c r="AA45" s="41">
        <f t="shared" si="9"/>
        <v>0</v>
      </c>
      <c r="AB45" s="42">
        <v>8</v>
      </c>
      <c r="AC45" s="43">
        <f t="shared" si="10"/>
        <v>0</v>
      </c>
    </row>
    <row r="46" spans="1:29" x14ac:dyDescent="0.25">
      <c r="A46" s="12"/>
      <c r="B46" s="18"/>
      <c r="C46" s="19"/>
      <c r="D46" s="18"/>
      <c r="E46" s="19"/>
      <c r="F46" s="18"/>
      <c r="G46" s="19"/>
      <c r="H46" s="18"/>
      <c r="I46" s="19"/>
      <c r="J46" s="18"/>
      <c r="K46" s="20"/>
      <c r="L46" s="20"/>
      <c r="N46" s="28">
        <f t="shared" si="12"/>
        <v>0</v>
      </c>
      <c r="O46" s="28">
        <f t="shared" si="12"/>
        <v>0</v>
      </c>
      <c r="P46" s="35">
        <f t="shared" si="4"/>
        <v>0</v>
      </c>
      <c r="Q46" s="29">
        <f t="shared" si="5"/>
        <v>0</v>
      </c>
      <c r="R46" s="29"/>
      <c r="S46" s="29">
        <f t="shared" si="6"/>
        <v>0</v>
      </c>
      <c r="T46" s="57"/>
      <c r="U46" s="39">
        <f t="shared" si="13"/>
        <v>0</v>
      </c>
      <c r="V46" s="40">
        <f t="shared" si="13"/>
        <v>0</v>
      </c>
      <c r="W46" s="40">
        <f t="shared" si="13"/>
        <v>0</v>
      </c>
      <c r="X46" s="40">
        <f t="shared" si="13"/>
        <v>0</v>
      </c>
      <c r="Y46" s="40">
        <f t="shared" si="0"/>
        <v>0</v>
      </c>
      <c r="Z46" s="40">
        <f t="shared" si="0"/>
        <v>0</v>
      </c>
      <c r="AA46" s="41">
        <f t="shared" si="9"/>
        <v>0</v>
      </c>
      <c r="AB46" s="42">
        <v>8</v>
      </c>
      <c r="AC46" s="43">
        <f t="shared" si="10"/>
        <v>0</v>
      </c>
    </row>
    <row r="47" spans="1:29" x14ac:dyDescent="0.25">
      <c r="A47" s="12"/>
      <c r="B47" s="18"/>
      <c r="C47" s="19"/>
      <c r="D47" s="18"/>
      <c r="E47" s="19"/>
      <c r="F47" s="18"/>
      <c r="G47" s="19"/>
      <c r="H47" s="18"/>
      <c r="I47" s="19"/>
      <c r="J47" s="18"/>
      <c r="K47" s="20"/>
      <c r="L47" s="20"/>
      <c r="N47" s="28">
        <f t="shared" si="12"/>
        <v>0</v>
      </c>
      <c r="O47" s="28">
        <f t="shared" si="12"/>
        <v>0</v>
      </c>
      <c r="P47" s="35">
        <f t="shared" si="4"/>
        <v>0</v>
      </c>
      <c r="Q47" s="29">
        <f t="shared" si="5"/>
        <v>0</v>
      </c>
      <c r="R47" s="29"/>
      <c r="S47" s="29">
        <f t="shared" si="6"/>
        <v>0</v>
      </c>
      <c r="T47" s="57"/>
      <c r="U47" s="39">
        <f t="shared" si="13"/>
        <v>0</v>
      </c>
      <c r="V47" s="40">
        <f t="shared" si="13"/>
        <v>0</v>
      </c>
      <c r="W47" s="40">
        <f t="shared" si="13"/>
        <v>0</v>
      </c>
      <c r="X47" s="40">
        <f t="shared" si="13"/>
        <v>0</v>
      </c>
      <c r="Y47" s="40">
        <f t="shared" si="0"/>
        <v>0</v>
      </c>
      <c r="Z47" s="40">
        <f t="shared" si="0"/>
        <v>0</v>
      </c>
      <c r="AA47" s="41">
        <f t="shared" si="9"/>
        <v>0</v>
      </c>
      <c r="AB47" s="42">
        <v>8</v>
      </c>
      <c r="AC47" s="43">
        <f t="shared" si="10"/>
        <v>0</v>
      </c>
    </row>
    <row r="48" spans="1:29" x14ac:dyDescent="0.25">
      <c r="A48" s="12"/>
      <c r="B48" s="18"/>
      <c r="C48" s="19"/>
      <c r="D48" s="18"/>
      <c r="E48" s="19"/>
      <c r="F48" s="18"/>
      <c r="G48" s="19"/>
      <c r="H48" s="18"/>
      <c r="I48" s="19"/>
      <c r="J48" s="18"/>
      <c r="K48" s="20"/>
      <c r="L48" s="20"/>
      <c r="N48" s="28"/>
      <c r="O48" s="28"/>
      <c r="P48" s="35"/>
      <c r="Q48" s="29"/>
      <c r="R48" s="29"/>
      <c r="S48" s="29"/>
      <c r="T48" s="57"/>
      <c r="U48" s="39"/>
      <c r="V48" s="40"/>
      <c r="W48" s="40"/>
      <c r="X48" s="40"/>
      <c r="Y48" s="40"/>
      <c r="Z48" s="40"/>
      <c r="AA48" s="41"/>
      <c r="AB48" s="42"/>
      <c r="AC48" s="43"/>
    </row>
    <row r="49" spans="1:29" x14ac:dyDescent="0.25">
      <c r="A49" s="12"/>
      <c r="B49" s="18"/>
      <c r="C49" s="19"/>
      <c r="D49" s="18"/>
      <c r="E49" s="19"/>
      <c r="F49" s="18"/>
      <c r="G49" s="19"/>
      <c r="H49" s="18"/>
      <c r="I49" s="19"/>
      <c r="J49" s="18"/>
      <c r="K49" s="20"/>
      <c r="L49" s="20"/>
      <c r="N49" s="28"/>
      <c r="O49" s="28"/>
      <c r="P49" s="35"/>
      <c r="Q49" s="29"/>
      <c r="R49" s="29"/>
      <c r="S49" s="29"/>
      <c r="T49" s="1"/>
      <c r="U49" s="39"/>
      <c r="V49" s="40"/>
      <c r="W49" s="40"/>
      <c r="X49" s="40"/>
      <c r="Y49" s="40"/>
      <c r="Z49" s="40"/>
      <c r="AA49" s="41"/>
      <c r="AB49" s="42"/>
      <c r="AC49" s="43"/>
    </row>
    <row r="50" spans="1:29" x14ac:dyDescent="0.25">
      <c r="A50" s="13"/>
      <c r="B50" s="21"/>
      <c r="C50" s="22"/>
      <c r="D50" s="21"/>
      <c r="E50" s="22"/>
      <c r="F50" s="21"/>
      <c r="G50" s="22"/>
      <c r="H50" s="21"/>
      <c r="I50" s="22"/>
      <c r="J50" s="21"/>
      <c r="K50" s="23"/>
      <c r="L50" s="23"/>
      <c r="N50" s="30"/>
      <c r="O50" s="30"/>
      <c r="P50" s="36"/>
      <c r="Q50" s="31"/>
      <c r="R50" s="31"/>
      <c r="S50" s="31"/>
      <c r="T50" s="1"/>
      <c r="U50" s="44"/>
      <c r="V50" s="45"/>
      <c r="W50" s="45"/>
      <c r="X50" s="45"/>
      <c r="Y50" s="45"/>
      <c r="Z50" s="45"/>
      <c r="AA50" s="46"/>
      <c r="AB50" s="47"/>
      <c r="AC50" s="48"/>
    </row>
    <row r="51" spans="1:29" x14ac:dyDescent="0.25">
      <c r="N51" s="54"/>
      <c r="T51" s="1"/>
    </row>
    <row r="52" spans="1:29" x14ac:dyDescent="0.25">
      <c r="E52" s="55"/>
      <c r="G52" s="56"/>
      <c r="AC52" s="4"/>
    </row>
    <row r="53" spans="1:29" x14ac:dyDescent="0.25">
      <c r="F53" s="55"/>
    </row>
    <row r="54" spans="1:29" x14ac:dyDescent="0.25">
      <c r="F54" s="56"/>
    </row>
    <row r="55" spans="1:29" x14ac:dyDescent="0.25">
      <c r="F55" s="56"/>
    </row>
    <row r="56" spans="1:29" x14ac:dyDescent="0.25">
      <c r="F56" s="56"/>
    </row>
  </sheetData>
  <mergeCells count="2">
    <mergeCell ref="A1:L2"/>
    <mergeCell ref="N1:S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3]!Ubicación_Archivo">
                <anchor moveWithCells="1" sizeWithCells="1">
                  <from>
                    <xdr:col>8</xdr:col>
                    <xdr:colOff>95250</xdr:colOff>
                    <xdr:row>0</xdr:row>
                    <xdr:rowOff>114300</xdr:rowOff>
                  </from>
                  <to>
                    <xdr:col>8</xdr:col>
                    <xdr:colOff>1609725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3]!Ubicación_Archivo">
                <anchor moveWithCells="1" sizeWithCells="1">
                  <from>
                    <xdr:col>8</xdr:col>
                    <xdr:colOff>95250</xdr:colOff>
                    <xdr:row>0</xdr:row>
                    <xdr:rowOff>114300</xdr:rowOff>
                  </from>
                  <to>
                    <xdr:col>8</xdr:col>
                    <xdr:colOff>1609725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PV Enero 2026</vt:lpstr>
      <vt:lpstr>PV Febrero 2026</vt:lpstr>
      <vt:lpstr>PV Marzo 2026</vt:lpstr>
    </vt:vector>
  </TitlesOfParts>
  <Company>Ministerio de Hacienda y Crèdito Pùblico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Paula Sofia Urquiza Encinales</dc:creator>
  <cp:lastModifiedBy>Paula Yanetth Guzmán Becerra</cp:lastModifiedBy>
  <dcterms:created xsi:type="dcterms:W3CDTF">2019-09-10T22:48:17Z</dcterms:created>
  <dcterms:modified xsi:type="dcterms:W3CDTF">2026-04-24T12:15:20Z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f58863d-b18f-495a-b538-b0c1f8318a5b_Enabled">
    <vt:lpwstr>true</vt:lpwstr>
  </property>
  <property fmtid="{D5CDD505-2E9C-101B-9397-08002B2CF9AE}" pid="3" name="MSIP_Label_3f58863d-b18f-495a-b538-b0c1f8318a5b_SetDate">
    <vt:lpwstr>2026-03-30T14:30:07Z</vt:lpwstr>
  </property>
  <property fmtid="{D5CDD505-2E9C-101B-9397-08002B2CF9AE}" pid="4" name="MSIP_Label_3f58863d-b18f-495a-b538-b0c1f8318a5b_Method">
    <vt:lpwstr>Privileged</vt:lpwstr>
  </property>
  <property fmtid="{D5CDD505-2E9C-101B-9397-08002B2CF9AE}" pid="5" name="MSIP_Label_3f58863d-b18f-495a-b538-b0c1f8318a5b_Name">
    <vt:lpwstr>Interna</vt:lpwstr>
  </property>
  <property fmtid="{D5CDD505-2E9C-101B-9397-08002B2CF9AE}" pid="6" name="MSIP_Label_3f58863d-b18f-495a-b538-b0c1f8318a5b_SiteId">
    <vt:lpwstr>b4ea60d8-be49-40bc-98c4-18c43bfd721e</vt:lpwstr>
  </property>
  <property fmtid="{D5CDD505-2E9C-101B-9397-08002B2CF9AE}" pid="7" name="MSIP_Label_3f58863d-b18f-495a-b538-b0c1f8318a5b_ActionId">
    <vt:lpwstr>7880d0f4-b84f-40f4-871d-f1ed31262635</vt:lpwstr>
  </property>
  <property fmtid="{D5CDD505-2E9C-101B-9397-08002B2CF9AE}" pid="8" name="MSIP_Label_3f58863d-b18f-495a-b538-b0c1f8318a5b_ContentBits">
    <vt:lpwstr>0</vt:lpwstr>
  </property>
  <property fmtid="{D5CDD505-2E9C-101B-9397-08002B2CF9AE}" pid="9" name="MSIP_Label_3f58863d-b18f-495a-b538-b0c1f8318a5b_Tag">
    <vt:lpwstr>10, 0, 1, 1</vt:lpwstr>
  </property>
</Properties>
</file>