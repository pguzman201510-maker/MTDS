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as_y_Mercado" sheetId="1" state="visible" r:id="rId1"/>
    <sheet xmlns:r="http://schemas.openxmlformats.org/officeDocument/2006/relationships" name="Portafolio_Actual" sheetId="2" state="visible" r:id="rId2"/>
    <sheet xmlns:r="http://schemas.openxmlformats.org/officeDocument/2006/relationships" name="Parametros_Modelo" sheetId="3" state="visible" r:id="rId3"/>
    <sheet xmlns:r="http://schemas.openxmlformats.org/officeDocument/2006/relationships" name="Escenarios_Estres" sheetId="4" state="visible" r:id="rId4"/>
    <sheet xmlns:r="http://schemas.openxmlformats.org/officeDocument/2006/relationships" name="Instrucciones_ED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2E74B5"/>
      <sz val="10"/>
    </font>
    <font>
      <name val="Arial"/>
      <color rgb="00000000"/>
      <sz val="10"/>
    </font>
    <font>
      <name val="Arial"/>
      <b val="1"/>
      <color rgb="007030A0"/>
      <sz val="10"/>
    </font>
    <font>
      <name val="Arial"/>
      <b val="1"/>
      <i val="1"/>
      <color rgb="002E74B5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FFFFFF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color rgb="000563C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0" customWidth="1" min="4" max="4"/>
    <col width="14" customWidth="1" min="5" max="5"/>
    <col width="14" customWidth="1" min="6" max="6"/>
    <col width="32" customWidth="1" min="7" max="7"/>
    <col width="30" customWidth="1" min="8" max="8"/>
  </cols>
  <sheetData>
    <row r="1" ht="40" customHeight="1">
      <c r="A1" s="1" t="inlineStr">
        <is>
          <t>TASAS DE MERCADO Y VARIABLES MACRO  |  PLANTILLA BLOOMBERG  |  MTDS 2026</t>
        </is>
      </c>
    </row>
    <row r="2" ht="35" customHeight="1">
      <c r="A2" s="2" t="inlineStr">
        <is>
          <t>Categoría</t>
        </is>
      </c>
      <c r="B2" s="2" t="inlineStr">
        <is>
          <t>Variable / Instrumento</t>
        </is>
      </c>
      <c r="C2" s="2" t="inlineStr">
        <is>
          <t>Bloomberg Ticker</t>
        </is>
      </c>
      <c r="D2" s="2" t="inlineStr">
        <is>
          <t>Unidad</t>
        </is>
      </c>
      <c r="E2" s="2" t="inlineStr">
        <is>
          <t>Valor Actual</t>
        </is>
      </c>
      <c r="F2" s="2" t="inlineStr">
        <is>
          <t>Fecha</t>
        </is>
      </c>
      <c r="G2" s="2" t="inlineStr">
        <is>
          <t>Fórmula BDP</t>
        </is>
      </c>
      <c r="H2" s="2" t="inlineStr">
        <is>
          <t>Notas</t>
        </is>
      </c>
    </row>
    <row r="3">
      <c r="A3" s="3" t="inlineStr">
        <is>
          <t>COP — Curva Interna</t>
        </is>
      </c>
      <c r="B3" s="4" t="inlineStr">
        <is>
          <t>TES COP 2Y</t>
        </is>
      </c>
      <c r="C3" s="5" t="inlineStr">
        <is>
          <t>COGR2YR Index</t>
        </is>
      </c>
      <c r="D3" s="6" t="inlineStr">
        <is>
          <t>%</t>
        </is>
      </c>
      <c r="E3" s="7" t="n"/>
      <c r="F3" s="7" t="n"/>
      <c r="G3" s="8">
        <f>BDP("COGR2YR Index","PX_LAST")</f>
        <v/>
      </c>
      <c r="H3" s="4" t="inlineStr"/>
    </row>
    <row r="4">
      <c r="A4" s="9" t="inlineStr">
        <is>
          <t>COP — Curva Interna</t>
        </is>
      </c>
      <c r="B4" s="10" t="inlineStr">
        <is>
          <t>TES COP 5Y</t>
        </is>
      </c>
      <c r="C4" s="11" t="inlineStr">
        <is>
          <t>COGR5YR Index</t>
        </is>
      </c>
      <c r="D4" s="12" t="inlineStr">
        <is>
          <t>%</t>
        </is>
      </c>
      <c r="E4" s="7" t="n"/>
      <c r="F4" s="7" t="n"/>
      <c r="G4" s="8">
        <f>BDP("COGR5YR Index","PX_LAST")</f>
        <v/>
      </c>
      <c r="H4" s="10" t="inlineStr"/>
    </row>
    <row r="5">
      <c r="A5" s="3" t="inlineStr">
        <is>
          <t>COP — Curva Interna</t>
        </is>
      </c>
      <c r="B5" s="4" t="inlineStr">
        <is>
          <t>TES COP 10Y</t>
        </is>
      </c>
      <c r="C5" s="5" t="inlineStr">
        <is>
          <t>COGR10YR Index</t>
        </is>
      </c>
      <c r="D5" s="6" t="inlineStr">
        <is>
          <t>%</t>
        </is>
      </c>
      <c r="E5" s="7" t="n"/>
      <c r="F5" s="7" t="n"/>
      <c r="G5" s="8">
        <f>BDP("COGR10YR Index","PX_LAST")</f>
        <v/>
      </c>
      <c r="H5" s="4" t="inlineStr"/>
    </row>
    <row r="6">
      <c r="A6" s="9" t="inlineStr">
        <is>
          <t>COP — Curva Interna</t>
        </is>
      </c>
      <c r="B6" s="10" t="inlineStr">
        <is>
          <t>TES COP 15Y</t>
        </is>
      </c>
      <c r="C6" s="11" t="inlineStr">
        <is>
          <t>COGR15YR Index</t>
        </is>
      </c>
      <c r="D6" s="12" t="inlineStr">
        <is>
          <t>%</t>
        </is>
      </c>
      <c r="E6" s="7" t="n"/>
      <c r="F6" s="7" t="n"/>
      <c r="G6" s="8">
        <f>BDP("COGR15YR Index","PX_LAST")</f>
        <v/>
      </c>
      <c r="H6" s="10" t="inlineStr"/>
    </row>
    <row r="7">
      <c r="A7" s="3" t="inlineStr">
        <is>
          <t>COP — Curva Interna</t>
        </is>
      </c>
      <c r="B7" s="4" t="inlineStr">
        <is>
          <t>TES COP 20Y</t>
        </is>
      </c>
      <c r="C7" s="5" t="inlineStr">
        <is>
          <t>COGR20YR Index</t>
        </is>
      </c>
      <c r="D7" s="6" t="inlineStr">
        <is>
          <t>%</t>
        </is>
      </c>
      <c r="E7" s="7" t="n"/>
      <c r="F7" s="7" t="n"/>
      <c r="G7" s="8">
        <f>BDP("COGR20YR Index","PX_LAST")</f>
        <v/>
      </c>
      <c r="H7" s="4" t="inlineStr"/>
    </row>
    <row r="8">
      <c r="A8" s="9" t="inlineStr">
        <is>
          <t>UVR — Indexada</t>
        </is>
      </c>
      <c r="B8" s="10" t="inlineStr">
        <is>
          <t>TES UVR 5Y (real)</t>
        </is>
      </c>
      <c r="C8" s="11" t="inlineStr">
        <is>
          <t>COUVR5Y Index</t>
        </is>
      </c>
      <c r="D8" s="12" t="inlineStr">
        <is>
          <t>% real</t>
        </is>
      </c>
      <c r="E8" s="7" t="n"/>
      <c r="F8" s="7" t="n"/>
      <c r="G8" s="8">
        <f>BDP("COUVR5Y Index","PX_LAST")</f>
        <v/>
      </c>
      <c r="H8" s="10" t="inlineStr"/>
    </row>
    <row r="9">
      <c r="A9" s="3" t="inlineStr">
        <is>
          <t>UVR — Indexada</t>
        </is>
      </c>
      <c r="B9" s="4" t="inlineStr">
        <is>
          <t>TES UVR 10Y (real)</t>
        </is>
      </c>
      <c r="C9" s="5" t="inlineStr">
        <is>
          <t>COUVR10Y Index</t>
        </is>
      </c>
      <c r="D9" s="6" t="inlineStr">
        <is>
          <t>% real</t>
        </is>
      </c>
      <c r="E9" s="7" t="n"/>
      <c r="F9" s="7" t="n"/>
      <c r="G9" s="8">
        <f>BDP("COUVR10Y Index","PX_LAST")</f>
        <v/>
      </c>
      <c r="H9" s="4" t="inlineStr"/>
    </row>
    <row r="10">
      <c r="A10" s="9" t="inlineStr">
        <is>
          <t>UVR — Indexada</t>
        </is>
      </c>
      <c r="B10" s="10" t="inlineStr">
        <is>
          <t>TES UVR 15Y (real)</t>
        </is>
      </c>
      <c r="C10" s="11" t="inlineStr">
        <is>
          <t>COUVR15Y Index</t>
        </is>
      </c>
      <c r="D10" s="12" t="inlineStr">
        <is>
          <t>% real</t>
        </is>
      </c>
      <c r="E10" s="7" t="n"/>
      <c r="F10" s="7" t="n"/>
      <c r="G10" s="8">
        <f>BDP("COUVR15Y Index","PX_LAST")</f>
        <v/>
      </c>
      <c r="H10" s="10" t="inlineStr"/>
    </row>
    <row r="11">
      <c r="A11" s="3" t="inlineStr">
        <is>
          <t>USD — Externa</t>
        </is>
      </c>
      <c r="B11" s="4" t="inlineStr">
        <is>
          <t>SOFR overnight</t>
        </is>
      </c>
      <c r="C11" s="5" t="inlineStr">
        <is>
          <t>SOFR Index</t>
        </is>
      </c>
      <c r="D11" s="6" t="inlineStr">
        <is>
          <t>%</t>
        </is>
      </c>
      <c r="E11" s="7" t="n"/>
      <c r="F11" s="7" t="n"/>
      <c r="G11" s="8">
        <f>BDP("SOFR Index","PX_LAST")</f>
        <v/>
      </c>
      <c r="H11" s="4" t="inlineStr"/>
    </row>
    <row r="12">
      <c r="A12" s="9" t="inlineStr">
        <is>
          <t>USD — Externa</t>
        </is>
      </c>
      <c r="B12" s="10" t="inlineStr">
        <is>
          <t>US Treasury 5Y</t>
        </is>
      </c>
      <c r="C12" s="11" t="inlineStr">
        <is>
          <t>GT5 Govt</t>
        </is>
      </c>
      <c r="D12" s="12" t="inlineStr">
        <is>
          <t>%</t>
        </is>
      </c>
      <c r="E12" s="7" t="n"/>
      <c r="F12" s="7" t="n"/>
      <c r="G12" s="8">
        <f>BDP("GT5 Govt","PX_LAST")</f>
        <v/>
      </c>
      <c r="H12" s="10" t="inlineStr"/>
    </row>
    <row r="13">
      <c r="A13" s="3" t="inlineStr">
        <is>
          <t>USD — Externa</t>
        </is>
      </c>
      <c r="B13" s="4" t="inlineStr">
        <is>
          <t>US Treasury 10Y</t>
        </is>
      </c>
      <c r="C13" s="5" t="inlineStr">
        <is>
          <t>GT10 Govt</t>
        </is>
      </c>
      <c r="D13" s="6" t="inlineStr">
        <is>
          <t>%</t>
        </is>
      </c>
      <c r="E13" s="7" t="n"/>
      <c r="F13" s="7" t="n"/>
      <c r="G13" s="8">
        <f>BDP("GT10 Govt","PX_LAST")</f>
        <v/>
      </c>
      <c r="H13" s="4" t="inlineStr"/>
    </row>
    <row r="14">
      <c r="A14" s="9" t="inlineStr">
        <is>
          <t>USD — Externa</t>
        </is>
      </c>
      <c r="B14" s="10" t="inlineStr">
        <is>
          <t>US Treasury 30Y</t>
        </is>
      </c>
      <c r="C14" s="11" t="inlineStr">
        <is>
          <t>GT30 Govt</t>
        </is>
      </c>
      <c r="D14" s="12" t="inlineStr">
        <is>
          <t>%</t>
        </is>
      </c>
      <c r="E14" s="7" t="n"/>
      <c r="F14" s="7" t="n"/>
      <c r="G14" s="8">
        <f>BDP("GT30 Govt","PX_LAST")</f>
        <v/>
      </c>
      <c r="H14" s="10" t="inlineStr"/>
    </row>
    <row r="15">
      <c r="A15" s="3" t="inlineStr">
        <is>
          <t>EUR — Externa</t>
        </is>
      </c>
      <c r="B15" s="4" t="inlineStr">
        <is>
          <t>EURIBOR 3M</t>
        </is>
      </c>
      <c r="C15" s="5" t="inlineStr">
        <is>
          <t>EUR003M Index</t>
        </is>
      </c>
      <c r="D15" s="6" t="inlineStr">
        <is>
          <t>%</t>
        </is>
      </c>
      <c r="E15" s="7" t="n"/>
      <c r="F15" s="7" t="n"/>
      <c r="G15" s="8">
        <f>BDP("EUR003M Index","PX_LAST")</f>
        <v/>
      </c>
      <c r="H15" s="4" t="inlineStr"/>
    </row>
    <row r="16">
      <c r="A16" s="9" t="inlineStr">
        <is>
          <t>EUR — Externa</t>
        </is>
      </c>
      <c r="B16" s="10" t="inlineStr">
        <is>
          <t>Bund 5Y</t>
        </is>
      </c>
      <c r="C16" s="11" t="inlineStr">
        <is>
          <t>GDBR5 Govt</t>
        </is>
      </c>
      <c r="D16" s="12" t="inlineStr">
        <is>
          <t>%</t>
        </is>
      </c>
      <c r="E16" s="7" t="n"/>
      <c r="F16" s="7" t="n"/>
      <c r="G16" s="8">
        <f>BDP("GDBR5 Govt","PX_LAST")</f>
        <v/>
      </c>
      <c r="H16" s="10" t="inlineStr"/>
    </row>
    <row r="17">
      <c r="A17" s="3" t="inlineStr">
        <is>
          <t>EUR — Externa</t>
        </is>
      </c>
      <c r="B17" s="4" t="inlineStr">
        <is>
          <t>Bund 10Y</t>
        </is>
      </c>
      <c r="C17" s="5" t="inlineStr">
        <is>
          <t>GDBR10 Govt</t>
        </is>
      </c>
      <c r="D17" s="6" t="inlineStr">
        <is>
          <t>%</t>
        </is>
      </c>
      <c r="E17" s="7" t="n"/>
      <c r="F17" s="7" t="n"/>
      <c r="G17" s="8">
        <f>BDP("GDBR10 Govt","PX_LAST")</f>
        <v/>
      </c>
      <c r="H17" s="4" t="inlineStr"/>
    </row>
    <row r="18">
      <c r="A18" s="9" t="inlineStr">
        <is>
          <t>CHF — Externa</t>
        </is>
      </c>
      <c r="B18" s="10" t="inlineStr">
        <is>
          <t>SARON overnight</t>
        </is>
      </c>
      <c r="C18" s="11" t="inlineStr">
        <is>
          <t>SRON Index</t>
        </is>
      </c>
      <c r="D18" s="12" t="inlineStr">
        <is>
          <t>%</t>
        </is>
      </c>
      <c r="E18" s="7" t="n"/>
      <c r="F18" s="7" t="n"/>
      <c r="G18" s="8">
        <f>BDP("SRON Index","PX_LAST")</f>
        <v/>
      </c>
      <c r="H18" s="10" t="inlineStr"/>
    </row>
    <row r="19">
      <c r="A19" s="3" t="inlineStr">
        <is>
          <t>CHF — Externa</t>
        </is>
      </c>
      <c r="B19" s="4" t="inlineStr">
        <is>
          <t>Swiss Govt 5Y</t>
        </is>
      </c>
      <c r="C19" s="5" t="inlineStr">
        <is>
          <t>GSWISS5 Govt</t>
        </is>
      </c>
      <c r="D19" s="6" t="inlineStr">
        <is>
          <t>%</t>
        </is>
      </c>
      <c r="E19" s="7" t="n"/>
      <c r="F19" s="7" t="n"/>
      <c r="G19" s="8">
        <f>BDP("GSWISS5 Govt","PX_LAST")</f>
        <v/>
      </c>
      <c r="H19" s="4" t="inlineStr"/>
    </row>
    <row r="20">
      <c r="A20" s="9" t="inlineStr">
        <is>
          <t>CHF — Externa</t>
        </is>
      </c>
      <c r="B20" s="10" t="inlineStr">
        <is>
          <t>Swiss Govt 10Y</t>
        </is>
      </c>
      <c r="C20" s="11" t="inlineStr">
        <is>
          <t>GSWISS10 Govt</t>
        </is>
      </c>
      <c r="D20" s="12" t="inlineStr">
        <is>
          <t>%</t>
        </is>
      </c>
      <c r="E20" s="7" t="n"/>
      <c r="F20" s="7" t="n"/>
      <c r="G20" s="8">
        <f>BDP("GSWISS10 Govt","PX_LAST")</f>
        <v/>
      </c>
      <c r="H20" s="10" t="inlineStr"/>
    </row>
    <row r="21">
      <c r="A21" s="3" t="inlineStr">
        <is>
          <t>Tipos de Cambio</t>
        </is>
      </c>
      <c r="B21" s="4" t="inlineStr">
        <is>
          <t>USD/COP spot</t>
        </is>
      </c>
      <c r="C21" s="5" t="inlineStr">
        <is>
          <t>COP Curncy</t>
        </is>
      </c>
      <c r="D21" s="6" t="inlineStr">
        <is>
          <t>COP</t>
        </is>
      </c>
      <c r="E21" s="7" t="n"/>
      <c r="F21" s="7" t="n"/>
      <c r="G21" s="8">
        <f>BDP("COP Curncy","PX_LAST")</f>
        <v/>
      </c>
      <c r="H21" s="4" t="inlineStr"/>
    </row>
    <row r="22">
      <c r="A22" s="9" t="inlineStr">
        <is>
          <t>Tipos de Cambio</t>
        </is>
      </c>
      <c r="B22" s="10" t="inlineStr">
        <is>
          <t>EUR/COP spot</t>
        </is>
      </c>
      <c r="C22" s="11" t="inlineStr">
        <is>
          <t>EURCOP Curncy</t>
        </is>
      </c>
      <c r="D22" s="12" t="inlineStr">
        <is>
          <t>COP</t>
        </is>
      </c>
      <c r="E22" s="7" t="n"/>
      <c r="F22" s="7" t="n"/>
      <c r="G22" s="8">
        <f>BDP("EURCOP Curncy","PX_LAST")</f>
        <v/>
      </c>
      <c r="H22" s="10" t="inlineStr"/>
    </row>
    <row r="23">
      <c r="A23" s="3" t="inlineStr">
        <is>
          <t>Tipos de Cambio</t>
        </is>
      </c>
      <c r="B23" s="4" t="inlineStr">
        <is>
          <t>CHF/COP spot</t>
        </is>
      </c>
      <c r="C23" s="5" t="inlineStr">
        <is>
          <t>CHFCOP Curncy</t>
        </is>
      </c>
      <c r="D23" s="6" t="inlineStr">
        <is>
          <t>COP</t>
        </is>
      </c>
      <c r="E23" s="7" t="n"/>
      <c r="F23" s="7" t="n"/>
      <c r="G23" s="8">
        <f>BDP("CHFCOP Curncy","PX_LAST")</f>
        <v/>
      </c>
      <c r="H23" s="4" t="inlineStr"/>
    </row>
    <row r="24">
      <c r="A24" s="9" t="inlineStr">
        <is>
          <t>Tipos de Cambio</t>
        </is>
      </c>
      <c r="B24" s="10" t="inlineStr">
        <is>
          <t>EUR/USD spot</t>
        </is>
      </c>
      <c r="C24" s="11" t="inlineStr">
        <is>
          <t>EURUSD Curncy</t>
        </is>
      </c>
      <c r="D24" s="12" t="inlineStr">
        <is>
          <t>USD</t>
        </is>
      </c>
      <c r="E24" s="7" t="n"/>
      <c r="F24" s="7" t="n"/>
      <c r="G24" s="8">
        <f>BDP("EURUSD Curncy","PX_LAST")</f>
        <v/>
      </c>
      <c r="H24" s="10" t="inlineStr"/>
    </row>
    <row r="25">
      <c r="A25" s="3" t="inlineStr">
        <is>
          <t>Tipos de Cambio</t>
        </is>
      </c>
      <c r="B25" s="4" t="inlineStr">
        <is>
          <t>CHF/USD spot</t>
        </is>
      </c>
      <c r="C25" s="5" t="inlineStr">
        <is>
          <t>USDCHF Curncy</t>
        </is>
      </c>
      <c r="D25" s="6" t="inlineStr">
        <is>
          <t>USD</t>
        </is>
      </c>
      <c r="E25" s="7" t="n"/>
      <c r="F25" s="7" t="n"/>
      <c r="G25" s="8">
        <f>BDP("USDCHF Curncy","PX_LAST")</f>
        <v/>
      </c>
      <c r="H25" s="4" t="inlineStr"/>
    </row>
    <row r="26">
      <c r="A26" s="9" t="inlineStr">
        <is>
          <t>Macro Colombia</t>
        </is>
      </c>
      <c r="B26" s="10" t="inlineStr">
        <is>
          <t>Inflación COP YoY</t>
        </is>
      </c>
      <c r="C26" s="11" t="inlineStr">
        <is>
          <t>COCPIYOY Index</t>
        </is>
      </c>
      <c r="D26" s="12" t="inlineStr">
        <is>
          <t>%</t>
        </is>
      </c>
      <c r="E26" s="7" t="n"/>
      <c r="F26" s="7" t="n"/>
      <c r="G26" s="8">
        <f>BDP("COCPIYOY Index","PX_LAST")</f>
        <v/>
      </c>
      <c r="H26" s="10" t="inlineStr"/>
    </row>
    <row r="27">
      <c r="A27" s="3" t="inlineStr">
        <is>
          <t>Macro Colombia</t>
        </is>
      </c>
      <c r="B27" s="4" t="inlineStr">
        <is>
          <t>Expectativas inflac 12M</t>
        </is>
      </c>
      <c r="C27" s="5" t="inlineStr">
        <is>
          <t>COINFEXP Index</t>
        </is>
      </c>
      <c r="D27" s="6" t="inlineStr">
        <is>
          <t xml:space="preserve">  %</t>
        </is>
      </c>
      <c r="E27" s="7" t="n"/>
      <c r="F27" s="7" t="n"/>
      <c r="G27" s="8">
        <f>BDP("COINFEXP Index","PX_LAST")</f>
        <v/>
      </c>
      <c r="H27" s="4" t="inlineStr"/>
    </row>
    <row r="28">
      <c r="A28" s="9" t="inlineStr">
        <is>
          <t>Macro Colombia</t>
        </is>
      </c>
      <c r="B28" s="10" t="inlineStr">
        <is>
          <t>UVR variación diaria</t>
        </is>
      </c>
      <c r="C28" s="11" t="inlineStr">
        <is>
          <t>CUVR Index</t>
        </is>
      </c>
      <c r="D28" s="12" t="inlineStr">
        <is>
          <t>%</t>
        </is>
      </c>
      <c r="E28" s="7" t="n"/>
      <c r="F28" s="7" t="n"/>
      <c r="G28" s="8">
        <f>BDP("CUVR Index","PX_LAST")</f>
        <v/>
      </c>
      <c r="H28" s="10" t="inlineStr"/>
    </row>
    <row r="29">
      <c r="A29" s="3" t="inlineStr">
        <is>
          <t>Macro Colombia</t>
        </is>
      </c>
      <c r="B29" s="4" t="inlineStr">
        <is>
          <t>PIB Colombia YoY</t>
        </is>
      </c>
      <c r="C29" s="5" t="inlineStr">
        <is>
          <t>COGDPYOY Index</t>
        </is>
      </c>
      <c r="D29" s="6" t="inlineStr">
        <is>
          <t>%</t>
        </is>
      </c>
      <c r="E29" s="7" t="n"/>
      <c r="F29" s="7" t="n"/>
      <c r="G29" s="8">
        <f>BDP("COGDPYOY Index","PX_LAST")</f>
        <v/>
      </c>
      <c r="H29" s="4" t="inlineStr"/>
    </row>
    <row r="30">
      <c r="A30" s="9" t="inlineStr">
        <is>
          <t>Macro Colombia</t>
        </is>
      </c>
      <c r="B30" s="10" t="inlineStr">
        <is>
          <t>CDS Colombia 5Y</t>
        </is>
      </c>
      <c r="C30" s="11" t="inlineStr">
        <is>
          <t>COLOM CDS USD SR 5Y</t>
        </is>
      </c>
      <c r="D30" s="12" t="inlineStr">
        <is>
          <t>bps</t>
        </is>
      </c>
      <c r="E30" s="7" t="n"/>
      <c r="F30" s="7" t="n"/>
      <c r="G30" s="8">
        <f>BDP("COLOM CDS USD SR 5Y","PX_LAST")</f>
        <v/>
      </c>
      <c r="H30" s="10" t="inlineStr"/>
    </row>
    <row r="31">
      <c r="A31" s="3" t="inlineStr">
        <is>
          <t>Macro Colombia</t>
        </is>
      </c>
      <c r="B31" s="4" t="inlineStr">
        <is>
          <t>Spread EMBI Col</t>
        </is>
      </c>
      <c r="C31" s="5" t="inlineStr">
        <is>
          <t>COLOM EMBI Index</t>
        </is>
      </c>
      <c r="D31" s="6" t="inlineStr">
        <is>
          <t>bps</t>
        </is>
      </c>
      <c r="E31" s="7" t="n"/>
      <c r="F31" s="7" t="n"/>
      <c r="G31" s="8">
        <f>BDP("COLOM EMBI Index","PX_LAST")</f>
        <v/>
      </c>
      <c r="H31" s="4" t="inlineStr"/>
    </row>
    <row r="32">
      <c r="A32" s="9" t="inlineStr">
        <is>
          <t>Macro Colombia</t>
        </is>
      </c>
      <c r="B32" s="10" t="inlineStr">
        <is>
          <t>Ingresos Gob./PIB</t>
        </is>
      </c>
      <c r="C32" s="11" t="inlineStr">
        <is>
          <t>COFISCREV Index</t>
        </is>
      </c>
      <c r="D32" s="12" t="inlineStr">
        <is>
          <t>% PIB</t>
        </is>
      </c>
      <c r="E32" s="7" t="n"/>
      <c r="F32" s="7" t="n"/>
      <c r="G32" s="8">
        <f>BDP("COFISCREV Index","PX_LAST")</f>
        <v/>
      </c>
      <c r="H32" s="10" t="inlineStr"/>
    </row>
    <row r="33">
      <c r="A33" s="3" t="inlineStr">
        <is>
          <t>Macro Colombia</t>
        </is>
      </c>
      <c r="B33" s="4" t="inlineStr">
        <is>
          <t>Deuda/PIB</t>
        </is>
      </c>
      <c r="C33" s="5" t="inlineStr">
        <is>
          <t>CODEBT Index</t>
        </is>
      </c>
      <c r="D33" s="6" t="inlineStr">
        <is>
          <t>% PIB</t>
        </is>
      </c>
      <c r="E33" s="7" t="n"/>
      <c r="F33" s="7" t="n"/>
      <c r="G33" s="8">
        <f>BDP("CODEBT Index","PX_LAST")</f>
        <v/>
      </c>
      <c r="H33" s="4" t="inlineStr"/>
    </row>
    <row r="35" ht="30" customHeight="1">
      <c r="A35" s="13" t="inlineStr">
        <is>
          <t>▶  INSTRUCCIÓN: Celdas amarillas = ingresar manualmente desde Bloomberg. Celdas verdes = fórmulas =BDP() que calculan automáticamente. Para series históricas use: =BDH(C3,"PX_LAST","20200101",TODAY())</t>
        </is>
      </c>
    </row>
  </sheetData>
  <mergeCells count="2">
    <mergeCell ref="A35:H3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14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40" customHeight="1">
      <c r="A1" s="1" t="inlineStr">
        <is>
          <t>PORTAFOLIO DEUDA VIGENTE — DICIEMBRE 2025  |  MTDS 2026</t>
        </is>
      </c>
    </row>
    <row r="2" ht="45" customHeight="1">
      <c r="A2" s="2" t="inlineStr">
        <is>
          <t>ID</t>
        </is>
      </c>
      <c r="B2" s="2" t="inlineStr">
        <is>
          <t>Mercado</t>
        </is>
      </c>
      <c r="C2" s="2" t="inlineStr">
        <is>
          <t>Moneda</t>
        </is>
      </c>
      <c r="D2" s="2" t="inlineStr">
        <is>
          <t>Tasa</t>
        </is>
      </c>
      <c r="E2" s="2" t="inlineStr">
        <is>
          <t>Saldo
(COP Bn)</t>
        </is>
      </c>
      <c r="F2" s="2" t="inlineStr">
        <is>
          <t>Part.
(%)</t>
        </is>
      </c>
      <c r="G2" s="2" t="inlineStr">
        <is>
          <t>Cupón/Tasa
(%)</t>
        </is>
      </c>
      <c r="H2" s="2" t="inlineStr">
        <is>
          <t>TPV
(años)</t>
        </is>
      </c>
      <c r="I2" s="2" t="inlineStr">
        <is>
          <t>TPR
(años)</t>
        </is>
      </c>
      <c r="J2" s="2" t="inlineStr">
        <is>
          <t>% Vto
Año 1</t>
        </is>
      </c>
      <c r="K2" s="2" t="inlineStr">
        <is>
          <t>Amort.
Año 1</t>
        </is>
      </c>
      <c r="L2" s="2" t="inlineStr">
        <is>
          <t>Amort.
Año 2</t>
        </is>
      </c>
      <c r="M2" s="2" t="inlineStr">
        <is>
          <t>Amort.
Año 3</t>
        </is>
      </c>
      <c r="N2" s="2" t="inlineStr">
        <is>
          <t>Amort.
Año 4-5</t>
        </is>
      </c>
    </row>
    <row r="3">
      <c r="A3" s="14" t="inlineStr">
        <is>
          <t>DI_COP_F</t>
        </is>
      </c>
      <c r="B3" s="15" t="inlineStr">
        <is>
          <t>Deuda Interna</t>
        </is>
      </c>
      <c r="C3" s="16" t="inlineStr">
        <is>
          <t>COP</t>
        </is>
      </c>
      <c r="D3" s="17" t="inlineStr">
        <is>
          <t>Fija</t>
        </is>
      </c>
      <c r="E3" s="7" t="n"/>
      <c r="F3" s="18" t="inlineStr">
        <is>
          <t>40%</t>
        </is>
      </c>
      <c r="G3" s="7" t="n"/>
      <c r="H3" s="7" t="n"/>
      <c r="I3" s="7" t="n"/>
      <c r="J3" s="7" t="n"/>
      <c r="K3" s="7" t="n"/>
      <c r="L3" s="7" t="n"/>
      <c r="M3" s="7" t="n"/>
      <c r="N3" s="7" t="n"/>
    </row>
    <row r="4">
      <c r="A4" s="14" t="inlineStr">
        <is>
          <t>DI_UVR_F</t>
        </is>
      </c>
      <c r="B4" s="15" t="inlineStr">
        <is>
          <t>Deuda Interna</t>
        </is>
      </c>
      <c r="C4" s="16" t="inlineStr">
        <is>
          <t>UVR</t>
        </is>
      </c>
      <c r="D4" s="17" t="inlineStr">
        <is>
          <t>Fija</t>
        </is>
      </c>
      <c r="E4" s="7" t="n"/>
      <c r="F4" s="18" t="inlineStr">
        <is>
          <t>20%</t>
        </is>
      </c>
      <c r="G4" s="7" t="n"/>
      <c r="H4" s="7" t="n"/>
      <c r="I4" s="7" t="n"/>
      <c r="J4" s="7" t="n"/>
      <c r="K4" s="7" t="n"/>
      <c r="L4" s="7" t="n"/>
      <c r="M4" s="7" t="n"/>
      <c r="N4" s="7" t="n"/>
    </row>
    <row r="5">
      <c r="A5" s="19" t="inlineStr">
        <is>
          <t>DE_USD_F</t>
        </is>
      </c>
      <c r="B5" s="20" t="inlineStr">
        <is>
          <t>Deuda Externa</t>
        </is>
      </c>
      <c r="C5" s="21" t="inlineStr">
        <is>
          <t>USD</t>
        </is>
      </c>
      <c r="D5" s="8" t="inlineStr">
        <is>
          <t>Fija</t>
        </is>
      </c>
      <c r="E5" s="7" t="n"/>
      <c r="F5" s="22" t="inlineStr">
        <is>
          <t>24%</t>
        </is>
      </c>
      <c r="G5" s="7" t="n"/>
      <c r="H5" s="7" t="n"/>
      <c r="I5" s="7" t="n"/>
      <c r="J5" s="7" t="n"/>
      <c r="K5" s="7" t="n"/>
      <c r="L5" s="7" t="n"/>
      <c r="M5" s="7" t="n"/>
      <c r="N5" s="7" t="n"/>
    </row>
    <row r="6">
      <c r="A6" s="19" t="inlineStr">
        <is>
          <t>DE_EUR_F</t>
        </is>
      </c>
      <c r="B6" s="20" t="inlineStr">
        <is>
          <t>Deuda Externa</t>
        </is>
      </c>
      <c r="C6" s="21" t="inlineStr">
        <is>
          <t>EUR</t>
        </is>
      </c>
      <c r="D6" s="8" t="inlineStr">
        <is>
          <t>Fija</t>
        </is>
      </c>
      <c r="E6" s="7" t="n"/>
      <c r="F6" s="22" t="inlineStr">
        <is>
          <t>6%</t>
        </is>
      </c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19" t="inlineStr">
        <is>
          <t>DE_EUR_V</t>
        </is>
      </c>
      <c r="B7" s="20" t="inlineStr">
        <is>
          <t>Deuda Externa</t>
        </is>
      </c>
      <c r="C7" s="21" t="inlineStr">
        <is>
          <t>EUR</t>
        </is>
      </c>
      <c r="D7" s="8" t="inlineStr">
        <is>
          <t>Variable</t>
        </is>
      </c>
      <c r="E7" s="7" t="n"/>
      <c r="F7" s="22" t="inlineStr">
        <is>
          <t>5%</t>
        </is>
      </c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19" t="inlineStr">
        <is>
          <t>DE_USD_V</t>
        </is>
      </c>
      <c r="B8" s="20" t="inlineStr">
        <is>
          <t>Deuda Externa</t>
        </is>
      </c>
      <c r="C8" s="21" t="inlineStr">
        <is>
          <t>USD</t>
        </is>
      </c>
      <c r="D8" s="8" t="inlineStr">
        <is>
          <t>Variable</t>
        </is>
      </c>
      <c r="E8" s="7" t="n"/>
      <c r="F8" s="22" t="inlineStr">
        <is>
          <t>5%</t>
        </is>
      </c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19" t="inlineStr">
        <is>
          <t>DE_CHF_F</t>
        </is>
      </c>
      <c r="B9" s="20" t="inlineStr">
        <is>
          <t>Deuda Externa</t>
        </is>
      </c>
      <c r="C9" s="21" t="inlineStr">
        <is>
          <t>CHF</t>
        </is>
      </c>
      <c r="D9" s="8" t="inlineStr">
        <is>
          <t>Fija</t>
        </is>
      </c>
      <c r="E9" s="7" t="n"/>
      <c r="F9" s="22" t="inlineStr">
        <is>
          <t>0%</t>
        </is>
      </c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19" t="inlineStr">
        <is>
          <t>DE_CHF_V</t>
        </is>
      </c>
      <c r="B10" s="20" t="inlineStr">
        <is>
          <t>Deuda Externa</t>
        </is>
      </c>
      <c r="C10" s="21" t="inlineStr">
        <is>
          <t>CHF</t>
        </is>
      </c>
      <c r="D10" s="8" t="inlineStr">
        <is>
          <t>Variable</t>
        </is>
      </c>
      <c r="E10" s="7" t="n"/>
      <c r="F10" s="22" t="inlineStr">
        <is>
          <t>0%</t>
        </is>
      </c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23" t="inlineStr">
        <is>
          <t>TOTAL</t>
        </is>
      </c>
      <c r="B11" s="23" t="inlineStr"/>
      <c r="C11" s="23" t="inlineStr"/>
      <c r="D11" s="23" t="inlineStr"/>
      <c r="E11" s="24">
        <f>SUM(E3:E10)</f>
        <v/>
      </c>
      <c r="F11" s="23" t="inlineStr"/>
      <c r="G11" s="23" t="inlineStr"/>
      <c r="H11" s="23" t="inlineStr"/>
      <c r="I11" s="23" t="inlineStr"/>
      <c r="J11" s="23" t="inlineStr"/>
      <c r="K11" s="23" t="inlineStr"/>
      <c r="L11" s="23" t="inlineStr"/>
      <c r="M11" s="23" t="inlineStr"/>
      <c r="N11" s="23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5" customWidth="1" min="3" max="3"/>
    <col width="18" customWidth="1" min="4" max="4"/>
    <col width="30" customWidth="1" min="5" max="5"/>
  </cols>
  <sheetData>
    <row r="1" ht="40" customHeight="1">
      <c r="A1" s="1" t="inlineStr">
        <is>
          <t>PARÁMETROS DE CALIBRACIÓN DEL MODELO  |  MTDS 2026</t>
        </is>
      </c>
    </row>
    <row r="2" ht="30" customHeight="1"/>
    <row r="3" ht="22" customHeight="1">
      <c r="A3" s="25" t="inlineStr">
        <is>
          <t>TASAS FIJAS (nueva emisión, %)</t>
        </is>
      </c>
    </row>
    <row r="4">
      <c r="A4" s="26" t="inlineStr">
        <is>
          <t>Parámetro</t>
        </is>
      </c>
      <c r="B4" s="26" t="inlineStr">
        <is>
          <t>ID Variable</t>
        </is>
      </c>
      <c r="C4" s="26" t="inlineStr">
        <is>
          <t>Fuente Bloomberg</t>
        </is>
      </c>
      <c r="D4" s="26" t="inlineStr">
        <is>
          <t>Valor Calibrado</t>
        </is>
      </c>
      <c r="E4" s="26" t="inlineStr">
        <is>
          <t>Notas</t>
        </is>
      </c>
    </row>
    <row r="5">
      <c r="A5" s="4" t="inlineStr">
        <is>
          <t>Tasa COP Fija</t>
        </is>
      </c>
      <c r="B5" s="5" t="inlineStr">
        <is>
          <t>cop_fixed_rate</t>
        </is>
      </c>
      <c r="C5" s="27" t="inlineStr">
        <is>
          <t>COGR10YR Index</t>
        </is>
      </c>
      <c r="D5" s="28" t="n">
        <v>9.5</v>
      </c>
      <c r="E5" s="4" t="inlineStr"/>
    </row>
    <row r="6">
      <c r="A6" s="10" t="inlineStr">
        <is>
          <t>Tasa Real UVR</t>
        </is>
      </c>
      <c r="B6" s="11" t="inlineStr">
        <is>
          <t>uvr_real_rate</t>
        </is>
      </c>
      <c r="C6" s="29" t="inlineStr">
        <is>
          <t>COUVR10Y Index</t>
        </is>
      </c>
      <c r="D6" s="28" t="n">
        <v>4.5</v>
      </c>
      <c r="E6" s="10" t="inlineStr"/>
    </row>
    <row r="7">
      <c r="A7" s="4" t="inlineStr">
        <is>
          <t>Inflación COP (UVR)</t>
        </is>
      </c>
      <c r="B7" s="5" t="inlineStr">
        <is>
          <t>uvr_inflation</t>
        </is>
      </c>
      <c r="C7" s="27" t="inlineStr">
        <is>
          <t>COCPIYOY Index</t>
        </is>
      </c>
      <c r="D7" s="28" t="n">
        <v>5</v>
      </c>
      <c r="E7" s="4" t="inlineStr"/>
    </row>
    <row r="8">
      <c r="A8" s="10" t="inlineStr">
        <is>
          <t>Tasa USD Fija</t>
        </is>
      </c>
      <c r="B8" s="11" t="inlineStr">
        <is>
          <t>usd_fixed_rate</t>
        </is>
      </c>
      <c r="C8" s="29" t="inlineStr">
        <is>
          <t>GT10 Govt + spread</t>
        </is>
      </c>
      <c r="D8" s="28" t="n">
        <v>6</v>
      </c>
      <c r="E8" s="10" t="inlineStr"/>
    </row>
    <row r="9">
      <c r="A9" s="4" t="inlineStr">
        <is>
          <t>Tasa EUR Fija</t>
        </is>
      </c>
      <c r="B9" s="5" t="inlineStr">
        <is>
          <t>eur_fixed_rate</t>
        </is>
      </c>
      <c r="C9" s="27" t="inlineStr">
        <is>
          <t>GDBR10 Govt + spread</t>
        </is>
      </c>
      <c r="D9" s="28" t="n">
        <v>4</v>
      </c>
      <c r="E9" s="4" t="inlineStr"/>
    </row>
    <row r="10">
      <c r="A10" s="10" t="inlineStr">
        <is>
          <t>Tasa CHF Fija</t>
        </is>
      </c>
      <c r="B10" s="11" t="inlineStr">
        <is>
          <t>chf_fixed_rate</t>
        </is>
      </c>
      <c r="C10" s="29" t="inlineStr">
        <is>
          <t>GSWISS10 + spread</t>
        </is>
      </c>
      <c r="D10" s="28" t="n">
        <v>2</v>
      </c>
      <c r="E10" s="10" t="inlineStr"/>
    </row>
    <row r="12" ht="22" customHeight="1">
      <c r="A12" s="25" t="inlineStr">
        <is>
          <t>TASAS VARIABLES — ÍNDICE BASE (%)</t>
        </is>
      </c>
    </row>
    <row r="13">
      <c r="A13" s="26" t="inlineStr">
        <is>
          <t>Parámetro</t>
        </is>
      </c>
      <c r="B13" s="26" t="inlineStr">
        <is>
          <t>ID Variable</t>
        </is>
      </c>
      <c r="C13" s="26" t="inlineStr">
        <is>
          <t>Fuente Bloomberg</t>
        </is>
      </c>
      <c r="D13" s="26" t="inlineStr">
        <is>
          <t>Valor Calibrado</t>
        </is>
      </c>
      <c r="E13" s="26" t="inlineStr">
        <is>
          <t>Notas</t>
        </is>
      </c>
    </row>
    <row r="14">
      <c r="A14" s="10" t="inlineStr">
        <is>
          <t>SOFR base</t>
        </is>
      </c>
      <c r="B14" s="11" t="inlineStr">
        <is>
          <t>sofr_base</t>
        </is>
      </c>
      <c r="C14" s="29" t="inlineStr">
        <is>
          <t>SOFR Index</t>
        </is>
      </c>
      <c r="D14" s="28" t="n">
        <v>4.5</v>
      </c>
      <c r="E14" s="10" t="inlineStr"/>
    </row>
    <row r="15">
      <c r="A15" s="4" t="inlineStr">
        <is>
          <t>Spread USD s/SOFR</t>
        </is>
      </c>
      <c r="B15" s="5" t="inlineStr">
        <is>
          <t>usd_spread_sofr</t>
        </is>
      </c>
      <c r="C15" s="27" t="inlineStr">
        <is>
          <t>OTC / Prospecto</t>
        </is>
      </c>
      <c r="D15" s="28" t="n">
        <v>1.2</v>
      </c>
      <c r="E15" s="4" t="inlineStr"/>
    </row>
    <row r="16">
      <c r="A16" s="10" t="inlineStr">
        <is>
          <t>EURIBOR 3M base</t>
        </is>
      </c>
      <c r="B16" s="11" t="inlineStr">
        <is>
          <t>euribor_base</t>
        </is>
      </c>
      <c r="C16" s="29" t="inlineStr">
        <is>
          <t>EUR003M Index</t>
        </is>
      </c>
      <c r="D16" s="28" t="n">
        <v>3</v>
      </c>
      <c r="E16" s="10" t="inlineStr"/>
    </row>
    <row r="17">
      <c r="A17" s="4" t="inlineStr">
        <is>
          <t>Spread EUR s/EURIBOR</t>
        </is>
      </c>
      <c r="B17" s="5" t="inlineStr">
        <is>
          <t>eur_spread_eurib</t>
        </is>
      </c>
      <c r="C17" s="27" t="inlineStr">
        <is>
          <t>OTC / Prospecto</t>
        </is>
      </c>
      <c r="D17" s="28" t="n">
        <v>0.9</v>
      </c>
      <c r="E17" s="4" t="inlineStr"/>
    </row>
    <row r="18">
      <c r="A18" s="10" t="inlineStr">
        <is>
          <t>SARON base</t>
        </is>
      </c>
      <c r="B18" s="11" t="inlineStr">
        <is>
          <t>saron_base</t>
        </is>
      </c>
      <c r="C18" s="29" t="inlineStr">
        <is>
          <t>SRON Index</t>
        </is>
      </c>
      <c r="D18" s="28" t="n">
        <v>1.2</v>
      </c>
      <c r="E18" s="10" t="inlineStr"/>
    </row>
    <row r="19">
      <c r="A19" s="4" t="inlineStr">
        <is>
          <t>Spread CHF s/SARON</t>
        </is>
      </c>
      <c r="B19" s="5" t="inlineStr">
        <is>
          <t>chf_spread_saron</t>
        </is>
      </c>
      <c r="C19" s="27" t="inlineStr">
        <is>
          <t>OTC / Prospecto</t>
        </is>
      </c>
      <c r="D19" s="28" t="n">
        <v>0.6</v>
      </c>
      <c r="E19" s="4" t="inlineStr"/>
    </row>
    <row r="21" ht="22" customHeight="1">
      <c r="A21" s="25" t="inlineStr">
        <is>
          <t>VOLATILIDADES ANUALIZADAS (%)</t>
        </is>
      </c>
    </row>
    <row r="22">
      <c r="A22" s="26" t="inlineStr">
        <is>
          <t>Parámetro</t>
        </is>
      </c>
      <c r="B22" s="26" t="inlineStr">
        <is>
          <t>ID Variable</t>
        </is>
      </c>
      <c r="C22" s="26" t="inlineStr">
        <is>
          <t>Fuente Bloomberg</t>
        </is>
      </c>
      <c r="D22" s="26" t="inlineStr">
        <is>
          <t>Valor Calibrado</t>
        </is>
      </c>
      <c r="E22" s="26" t="inlineStr">
        <is>
          <t>Notas</t>
        </is>
      </c>
    </row>
    <row r="23">
      <c r="A23" s="4" t="inlineStr">
        <is>
          <t>Vol. TES COP</t>
        </is>
      </c>
      <c r="B23" s="5" t="inlineStr">
        <is>
          <t>vol_cop_rate</t>
        </is>
      </c>
      <c r="C23" s="27" t="inlineStr">
        <is>
          <t>Histórico 5Y COGR10YR</t>
        </is>
      </c>
      <c r="D23" s="28" t="n">
        <v>1.8</v>
      </c>
      <c r="E23" s="4" t="inlineStr"/>
    </row>
    <row r="24">
      <c r="A24" s="10" t="inlineStr">
        <is>
          <t>Vol. inflación COP</t>
        </is>
      </c>
      <c r="B24" s="11" t="inlineStr">
        <is>
          <t>vol_uvr_inf</t>
        </is>
      </c>
      <c r="C24" s="29" t="inlineStr">
        <is>
          <t>Histórico 5Y COCPIYOY</t>
        </is>
      </c>
      <c r="D24" s="28" t="n">
        <v>1.2</v>
      </c>
      <c r="E24" s="10" t="inlineStr"/>
    </row>
    <row r="25">
      <c r="A25" s="4" t="inlineStr">
        <is>
          <t>Vol. tasa USD</t>
        </is>
      </c>
      <c r="B25" s="5" t="inlineStr">
        <is>
          <t>vol_usd_rate</t>
        </is>
      </c>
      <c r="C25" s="27" t="inlineStr">
        <is>
          <t>Histórico 5Y GT10</t>
        </is>
      </c>
      <c r="D25" s="28" t="n">
        <v>0.9</v>
      </c>
      <c r="E25" s="4" t="inlineStr"/>
    </row>
    <row r="26">
      <c r="A26" s="10" t="inlineStr">
        <is>
          <t>Vol. tasa EUR</t>
        </is>
      </c>
      <c r="B26" s="11" t="inlineStr">
        <is>
          <t>vol_eur_rate</t>
        </is>
      </c>
      <c r="C26" s="29" t="inlineStr">
        <is>
          <t>Histórico 5Y GDBR10</t>
        </is>
      </c>
      <c r="D26" s="28" t="n">
        <v>0.7</v>
      </c>
      <c r="E26" s="10" t="inlineStr"/>
    </row>
    <row r="27">
      <c r="A27" s="4" t="inlineStr">
        <is>
          <t>Vol. tasa CHF</t>
        </is>
      </c>
      <c r="B27" s="5" t="inlineStr">
        <is>
          <t>vol_chf_rate</t>
        </is>
      </c>
      <c r="C27" s="27" t="inlineStr">
        <is>
          <t>Histórico 5Y GSWISS10</t>
        </is>
      </c>
      <c r="D27" s="28" t="n">
        <v>0.5</v>
      </c>
      <c r="E27" s="4" t="inlineStr"/>
    </row>
    <row r="28">
      <c r="A28" s="10" t="inlineStr">
        <is>
          <t>Vol. SOFR</t>
        </is>
      </c>
      <c r="B28" s="11" t="inlineStr">
        <is>
          <t>vol_sofr</t>
        </is>
      </c>
      <c r="C28" s="29" t="inlineStr">
        <is>
          <t>Histórico 5Y SOFR</t>
        </is>
      </c>
      <c r="D28" s="28" t="n">
        <v>0.8</v>
      </c>
      <c r="E28" s="10" t="inlineStr"/>
    </row>
    <row r="29">
      <c r="A29" s="4" t="inlineStr">
        <is>
          <t>Vol. EURIBOR</t>
        </is>
      </c>
      <c r="B29" s="5" t="inlineStr">
        <is>
          <t>vol_euribor</t>
        </is>
      </c>
      <c r="C29" s="27" t="inlineStr">
        <is>
          <t>Histórico 5Y EUR003M</t>
        </is>
      </c>
      <c r="D29" s="28" t="n">
        <v>0.65</v>
      </c>
      <c r="E29" s="4" t="inlineStr"/>
    </row>
    <row r="30">
      <c r="A30" s="10" t="inlineStr">
        <is>
          <t>Vol. SARON</t>
        </is>
      </c>
      <c r="B30" s="11" t="inlineStr">
        <is>
          <t>vol_saron</t>
        </is>
      </c>
      <c r="C30" s="29" t="inlineStr">
        <is>
          <t>Histórico 5Y SRON</t>
        </is>
      </c>
      <c r="D30" s="28" t="n">
        <v>0.4</v>
      </c>
      <c r="E30" s="10" t="inlineStr"/>
    </row>
    <row r="32" ht="22" customHeight="1">
      <c r="A32" s="25" t="inlineStr">
        <is>
          <t>TIPOS DE CAMBIO</t>
        </is>
      </c>
    </row>
    <row r="33">
      <c r="A33" s="26" t="inlineStr">
        <is>
          <t>Parámetro</t>
        </is>
      </c>
      <c r="B33" s="26" t="inlineStr">
        <is>
          <t>ID Variable</t>
        </is>
      </c>
      <c r="C33" s="26" t="inlineStr">
        <is>
          <t>Fuente Bloomberg</t>
        </is>
      </c>
      <c r="D33" s="26" t="inlineStr">
        <is>
          <t>Valor Calibrado</t>
        </is>
      </c>
      <c r="E33" s="26" t="inlineStr">
        <is>
          <t>Notas</t>
        </is>
      </c>
    </row>
    <row r="34">
      <c r="A34" s="10" t="inlineStr">
        <is>
          <t>USD/COP Spot</t>
        </is>
      </c>
      <c r="B34" s="11" t="inlineStr">
        <is>
          <t>usdcop_spot</t>
        </is>
      </c>
      <c r="C34" s="29" t="inlineStr">
        <is>
          <t>COP Curncy</t>
        </is>
      </c>
      <c r="D34" s="28" t="n">
        <v>4200</v>
      </c>
      <c r="E34" s="10" t="inlineStr"/>
    </row>
    <row r="35">
      <c r="A35" s="4" t="inlineStr">
        <is>
          <t>Drift anual USD/COP (%)</t>
        </is>
      </c>
      <c r="B35" s="5" t="inlineStr">
        <is>
          <t>usdcop_drift</t>
        </is>
      </c>
      <c r="C35" s="27" t="inlineStr">
        <is>
          <t>Expectativa macro</t>
        </is>
      </c>
      <c r="D35" s="28" t="n">
        <v>4</v>
      </c>
      <c r="E35" s="4" t="inlineStr"/>
    </row>
    <row r="36">
      <c r="A36" s="10" t="inlineStr">
        <is>
          <t>Vol anual USD/COP (%)</t>
        </is>
      </c>
      <c r="B36" s="11" t="inlineStr">
        <is>
          <t>vol_usdcop</t>
        </is>
      </c>
      <c r="C36" s="29" t="inlineStr">
        <is>
          <t>Histórico 5Y COP Curncy</t>
        </is>
      </c>
      <c r="D36" s="28" t="n">
        <v>9</v>
      </c>
      <c r="E36" s="10" t="inlineStr"/>
    </row>
    <row r="37">
      <c r="A37" s="4" t="inlineStr">
        <is>
          <t>EUR/COP Spot</t>
        </is>
      </c>
      <c r="B37" s="5" t="inlineStr">
        <is>
          <t>eurcop_spot</t>
        </is>
      </c>
      <c r="C37" s="27" t="inlineStr">
        <is>
          <t>EURCOP Curncy</t>
        </is>
      </c>
      <c r="D37" s="28" t="n">
        <v>4620</v>
      </c>
      <c r="E37" s="4" t="inlineStr"/>
    </row>
    <row r="38">
      <c r="A38" s="10" t="inlineStr">
        <is>
          <t>Drift anual EUR/COP (%)</t>
        </is>
      </c>
      <c r="B38" s="11" t="inlineStr">
        <is>
          <t>eurcop_drift</t>
        </is>
      </c>
      <c r="C38" s="29" t="inlineStr">
        <is>
          <t>Expectativa macro</t>
        </is>
      </c>
      <c r="D38" s="28" t="n">
        <v>3</v>
      </c>
      <c r="E38" s="10" t="inlineStr"/>
    </row>
    <row r="39">
      <c r="A39" s="4" t="inlineStr">
        <is>
          <t>Vol anual EUR/COP (%)</t>
        </is>
      </c>
      <c r="B39" s="5" t="inlineStr">
        <is>
          <t>vol_eurcop</t>
        </is>
      </c>
      <c r="C39" s="27" t="inlineStr">
        <is>
          <t>Histórico 5Y EURCOP</t>
        </is>
      </c>
      <c r="D39" s="28" t="n">
        <v>8.5</v>
      </c>
      <c r="E39" s="4" t="inlineStr"/>
    </row>
    <row r="40">
      <c r="A40" s="10" t="inlineStr">
        <is>
          <t>CHF/COP Spot</t>
        </is>
      </c>
      <c r="B40" s="11" t="inlineStr">
        <is>
          <t>chfcop_spot</t>
        </is>
      </c>
      <c r="C40" s="29" t="inlineStr">
        <is>
          <t>CHFCOP Curncy</t>
        </is>
      </c>
      <c r="D40" s="28" t="n">
        <v>4850</v>
      </c>
      <c r="E40" s="10" t="inlineStr"/>
    </row>
    <row r="41">
      <c r="A41" s="4" t="inlineStr">
        <is>
          <t>Drift anual CHF/COP (%)</t>
        </is>
      </c>
      <c r="B41" s="5" t="inlineStr">
        <is>
          <t>chfcop_drift</t>
        </is>
      </c>
      <c r="C41" s="27" t="inlineStr">
        <is>
          <t>Expectativa macro</t>
        </is>
      </c>
      <c r="D41" s="28" t="n">
        <v>2.5</v>
      </c>
      <c r="E41" s="4" t="inlineStr"/>
    </row>
    <row r="42">
      <c r="A42" s="10" t="inlineStr">
        <is>
          <t>Vol anual CHF/COP (%)</t>
        </is>
      </c>
      <c r="B42" s="11" t="inlineStr">
        <is>
          <t>vol_chfcop</t>
        </is>
      </c>
      <c r="C42" s="29" t="inlineStr">
        <is>
          <t>Histórico 5Y CHFCOP</t>
        </is>
      </c>
      <c r="D42" s="28" t="n">
        <v>7.5</v>
      </c>
      <c r="E42" s="10" t="inlineStr"/>
    </row>
    <row r="44" ht="22" customHeight="1">
      <c r="A44" s="25" t="inlineStr">
        <is>
          <t>MACRO / FISCAL</t>
        </is>
      </c>
    </row>
    <row r="45">
      <c r="A45" s="26" t="inlineStr">
        <is>
          <t>Parámetro</t>
        </is>
      </c>
      <c r="B45" s="26" t="inlineStr">
        <is>
          <t>ID Variable</t>
        </is>
      </c>
      <c r="C45" s="26" t="inlineStr">
        <is>
          <t>Fuente Bloomberg</t>
        </is>
      </c>
      <c r="D45" s="26" t="inlineStr">
        <is>
          <t>Valor Calibrado</t>
        </is>
      </c>
      <c r="E45" s="26" t="inlineStr">
        <is>
          <t>Notas</t>
        </is>
      </c>
    </row>
    <row r="46">
      <c r="A46" s="10" t="inlineStr">
        <is>
          <t>PIB Colombia (COP Bn)</t>
        </is>
      </c>
      <c r="B46" s="11" t="inlineStr">
        <is>
          <t>gdp_cop_bn</t>
        </is>
      </c>
      <c r="C46" s="29" t="inlineStr">
        <is>
          <t>COGDPNAC Index</t>
        </is>
      </c>
      <c r="D46" s="28" t="n">
        <v>1300</v>
      </c>
      <c r="E46" s="10" t="inlineStr"/>
    </row>
    <row r="47">
      <c r="A47" s="4" t="inlineStr">
        <is>
          <t>Deuda / PIB (%)</t>
        </is>
      </c>
      <c r="B47" s="5" t="inlineStr">
        <is>
          <t>debt_pct_gdp</t>
        </is>
      </c>
      <c r="C47" s="27" t="inlineStr">
        <is>
          <t>CODEBT Index</t>
        </is>
      </c>
      <c r="D47" s="28" t="n">
        <v>55</v>
      </c>
      <c r="E47" s="4" t="inlineStr"/>
    </row>
    <row r="48">
      <c r="A48" s="10" t="inlineStr">
        <is>
          <t>Ingresos Gob. / PIB (%)</t>
        </is>
      </c>
      <c r="B48" s="11" t="inlineStr">
        <is>
          <t>revenues_pct_gdp</t>
        </is>
      </c>
      <c r="C48" s="29" t="inlineStr">
        <is>
          <t>COFISCREV Index</t>
        </is>
      </c>
      <c r="D48" s="28" t="n">
        <v>17</v>
      </c>
      <c r="E48" s="10" t="inlineStr"/>
    </row>
    <row r="49">
      <c r="A49" s="4" t="inlineStr">
        <is>
          <t>GFN (% PIB)</t>
        </is>
      </c>
      <c r="B49" s="5" t="inlineStr">
        <is>
          <t>gfn_pct_gdp</t>
        </is>
      </c>
      <c r="C49" s="27" t="inlineStr">
        <is>
          <t>MHCP Presupuesto</t>
        </is>
      </c>
      <c r="D49" s="28" t="n">
        <v>6.5</v>
      </c>
      <c r="E49" s="4" t="inlineStr"/>
    </row>
    <row r="50">
      <c r="A50" s="10" t="inlineStr">
        <is>
          <t>Aversión al riesgo λ</t>
        </is>
      </c>
      <c r="B50" s="11" t="inlineStr">
        <is>
          <t>risk_aversion</t>
        </is>
      </c>
      <c r="C50" s="29" t="inlineStr">
        <is>
          <t>Calibrar [0.5 – 3.0]</t>
        </is>
      </c>
      <c r="D50" s="28" t="n">
        <v>1.5</v>
      </c>
      <c r="E50" s="10" t="inlineStr"/>
    </row>
    <row r="51">
      <c r="A51" s="4" t="inlineStr">
        <is>
          <t>N° escenarios MC</t>
        </is>
      </c>
      <c r="B51" s="5" t="inlineStr">
        <is>
          <t>n_scenarios</t>
        </is>
      </c>
      <c r="C51" s="27" t="inlineStr">
        <is>
          <t>Fijo</t>
        </is>
      </c>
      <c r="D51" s="28" t="n">
        <v>1000</v>
      </c>
      <c r="E51" s="4" t="inlineStr"/>
    </row>
    <row r="52">
      <c r="A52" s="10" t="inlineStr">
        <is>
          <t>Horizonte (años)</t>
        </is>
      </c>
      <c r="B52" s="11" t="inlineStr">
        <is>
          <t>horizon</t>
        </is>
      </c>
      <c r="C52" s="29" t="inlineStr">
        <is>
          <t>Fijo</t>
        </is>
      </c>
      <c r="D52" s="28" t="n">
        <v>5</v>
      </c>
      <c r="E52" s="10" t="inlineStr"/>
    </row>
  </sheetData>
  <mergeCells count="6">
    <mergeCell ref="A21:E21"/>
    <mergeCell ref="A12:E12"/>
    <mergeCell ref="A1:E1"/>
    <mergeCell ref="A32:E32"/>
    <mergeCell ref="A44:E44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6" customWidth="1" min="4" max="4"/>
    <col width="38" customWidth="1" min="5" max="5"/>
  </cols>
  <sheetData>
    <row r="1" ht="40" customHeight="1">
      <c r="A1" s="1" t="inlineStr">
        <is>
          <t>ESCENARIOS DE ESTRÉS DETERMINISTAS  |  BM-FMI Paso 4</t>
        </is>
      </c>
    </row>
    <row r="2" ht="35" customHeight="1">
      <c r="A2" s="2" t="inlineStr">
        <is>
          <t>Escenario</t>
        </is>
      </c>
      <c r="B2" s="2" t="inlineStr">
        <is>
          <t>Descripción</t>
        </is>
      </c>
      <c r="C2" s="2" t="inlineStr">
        <is>
          <t>Shock Tasa</t>
        </is>
      </c>
      <c r="D2" s="2" t="inlineStr">
        <is>
          <t>Shock FX (COP)</t>
        </is>
      </c>
      <c r="E2" s="2" t="inlineStr">
        <is>
          <t>Fundamento BM-FMI</t>
        </is>
      </c>
    </row>
    <row r="3">
      <c r="A3" s="30" t="inlineStr">
        <is>
          <t>Base</t>
        </is>
      </c>
      <c r="B3" s="4" t="inlineStr">
        <is>
          <t>Proyecciones macro de referencia</t>
        </is>
      </c>
      <c r="C3" s="6" t="inlineStr">
        <is>
          <t>0 pbs</t>
        </is>
      </c>
      <c r="D3" s="6" t="inlineStr">
        <is>
          <t>0%</t>
        </is>
      </c>
      <c r="E3" s="4" t="inlineStr">
        <is>
          <t>Marco macroeconómico base (paso 4)</t>
        </is>
      </c>
    </row>
    <row r="4">
      <c r="A4" s="31" t="inlineStr">
        <is>
          <t>Tasa+200</t>
        </is>
      </c>
      <c r="B4" s="10" t="inlineStr">
        <is>
          <t>Shock de tasas de interés (+200 pbs)</t>
        </is>
      </c>
      <c r="C4" s="12" t="inlineStr">
        <is>
          <t>+200 pbs</t>
        </is>
      </c>
      <c r="D4" s="12" t="inlineStr">
        <is>
          <t>0%</t>
        </is>
      </c>
      <c r="E4" s="10" t="inlineStr">
        <is>
          <t>Apéndice III — Riesgo de tasas de interés</t>
        </is>
      </c>
    </row>
    <row r="5">
      <c r="A5" s="30" t="inlineStr">
        <is>
          <t>Depr. 30%</t>
        </is>
      </c>
      <c r="B5" s="4" t="inlineStr">
        <is>
          <t>Shock cambiario (depreciación 30% COP)</t>
        </is>
      </c>
      <c r="C5" s="6" t="inlineStr">
        <is>
          <t>0 pbs</t>
        </is>
      </c>
      <c r="D5" s="6" t="inlineStr">
        <is>
          <t>−30%</t>
        </is>
      </c>
      <c r="E5" s="4" t="inlineStr">
        <is>
          <t>Apéndice III — Riesgo cambiario</t>
        </is>
      </c>
    </row>
    <row r="6">
      <c r="A6" s="31" t="inlineStr">
        <is>
          <t>Combinado</t>
        </is>
      </c>
      <c r="B6" s="10" t="inlineStr">
        <is>
          <t>Shock combinado (tasas + cambiario)</t>
        </is>
      </c>
      <c r="C6" s="12" t="inlineStr">
        <is>
          <t>+200 pbs</t>
        </is>
      </c>
      <c r="D6" s="12" t="inlineStr">
        <is>
          <t>−30%</t>
        </is>
      </c>
      <c r="E6" s="10" t="inlineStr">
        <is>
          <t>ASD — prueba de estrés combinada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40" customHeight="1">
      <c r="A1" s="1" t="inlineStr">
        <is>
          <t>GUÍA BM-FMI — 8 PASOS EDMP 2026  |  Nota de Orientación oct. 2018</t>
        </is>
      </c>
    </row>
    <row r="3" ht="24" customHeight="1">
      <c r="A3" s="25" t="inlineStr">
        <is>
          <t xml:space="preserve">  Paso 1  —  Objetivos y alcance</t>
        </is>
      </c>
    </row>
    <row r="4" ht="55" customHeight="1">
      <c r="A4" s="32" t="inlineStr">
        <is>
          <t>Identificar objetivos: satisfacer NF, minimizar costo, gestionar riesgo, desarrollar mercado.
Alcance: deuda directa del Gobierno central (interna + externa). Documentar ante el Ministro de Hacienda.</t>
        </is>
      </c>
    </row>
    <row r="5"/>
    <row r="7" ht="24" customHeight="1">
      <c r="A7" s="25" t="inlineStr">
        <is>
          <t xml:space="preserve">  Paso 2  —  Estrategia actual y cartera vigente</t>
        </is>
      </c>
    </row>
    <row r="8" ht="55" customHeight="1">
      <c r="A8" s="32" t="inlineStr">
        <is>
          <t>Completar hoja 'Portafolio_Actual' con saldos a dic-2025.
Calcular TPV, TPR, % FX, % variable. Fuentes: SIIF Nación, DGCPTN.</t>
        </is>
      </c>
    </row>
    <row r="9"/>
    <row r="11" ht="24" customHeight="1">
      <c r="A11" s="25" t="inlineStr">
        <is>
          <t xml:space="preserve">  Paso 3  —  Fuentes de financiamiento disponibles</t>
        </is>
      </c>
    </row>
    <row r="12" ht="55" customHeight="1">
      <c r="A12" s="32" t="inlineStr">
        <is>
          <t>Evaluar: TES COP, TES UVR, Bonos Globales USD, EUR, CHF (fijos y variables).
Considerar capacidad absortiva del mercado interno y condiciones de acceso externo.</t>
        </is>
      </c>
    </row>
    <row r="13"/>
    <row r="15" ht="24" customHeight="1">
      <c r="A15" s="25" t="inlineStr">
        <is>
          <t xml:space="preserve">  Paso 4  —  Escenarios base y de estrés</t>
        </is>
      </c>
    </row>
    <row r="16" ht="55" customHeight="1">
      <c r="A16" s="32" t="inlineStr">
        <is>
          <t>Completar hoja 'Tasas_y_Mercado' con datos Bloomberg actualizados.
Los escenarios de estrés (ver hoja 'Escenarios_Estres') siguen el ASD del FMI-BM.</t>
        </is>
      </c>
    </row>
    <row r="17"/>
    <row r="19" ht="24" customHeight="1">
      <c r="A19" s="25" t="inlineStr">
        <is>
          <t xml:space="preserve">  Paso 5  —  Factores estructurales</t>
        </is>
      </c>
    </row>
    <row r="20" ht="55" customHeight="1">
      <c r="A20" s="32" t="inlineStr">
        <is>
          <t>Colombia: dependencia de commodities, tendencias FX COP, acceso a merca­dos internacionales.
Considerar credibilidad de política monetaria del Banco de la República.</t>
        </is>
      </c>
    </row>
    <row r="21"/>
    <row r="23" ht="24" customHeight="1">
      <c r="A23" s="25" t="inlineStr">
        <is>
          <t xml:space="preserve">  Paso 6  —  Evaluar estrategias alternativas</t>
        </is>
      </c>
    </row>
    <row r="24" ht="55" customHeight="1">
      <c r="A24" s="32" t="inlineStr">
        <is>
          <t>Ejecutar: python mtds_2026_v2.py
El script genera la frontera eficiente y la estrategia óptima con 1,000 escenarios MC.
Revisar: hoja MTDS_2026 (composición), Metricas_BMFMI (indicadores), Frontera_Eficiente.</t>
        </is>
      </c>
    </row>
    <row r="25"/>
    <row r="27" ht="24" customHeight="1">
      <c r="A27" s="25" t="inlineStr">
        <is>
          <t xml:space="preserve">  Paso 7  —  Consulta con autoridades fiscal y monetaria</t>
        </is>
      </c>
    </row>
    <row r="28" ht="55" customHeight="1">
      <c r="A28" s="32" t="inlineStr">
        <is>
          <t>Compartir resultados con:
· DGPM (sostenibilidad fiscal) — verificar intereses/PIB coherentes con MFMP
· Banco de la República — impacto en condiciones monetarias y cuenta de capital</t>
        </is>
      </c>
    </row>
    <row r="29"/>
    <row r="31" ht="24" customHeight="1">
      <c r="A31" s="25" t="inlineStr">
        <is>
          <t xml:space="preserve">  Paso 8  —  Aprobación y publicación</t>
        </is>
      </c>
    </row>
    <row r="32" ht="55" customHeight="1">
      <c r="A32" s="32" t="inlineStr">
        <is>
          <t>Presentar estrategia preferida + alternativas al Ministro de Hacienda.
Publicar documento de EGD. Preparar Plan Anual de Empréstitos coherente con la EDMP.</t>
        </is>
      </c>
    </row>
    <row r="33"/>
  </sheetData>
  <mergeCells count="17">
    <mergeCell ref="A16:C17"/>
    <mergeCell ref="A19:C19"/>
    <mergeCell ref="A11:C11"/>
    <mergeCell ref="A1:C1"/>
    <mergeCell ref="A23:C23"/>
    <mergeCell ref="A31:C31"/>
    <mergeCell ref="A32:C33"/>
    <mergeCell ref="A8:C9"/>
    <mergeCell ref="A24:C25"/>
    <mergeCell ref="A27:C27"/>
    <mergeCell ref="A3:C3"/>
    <mergeCell ref="A4:C5"/>
    <mergeCell ref="A15:C15"/>
    <mergeCell ref="A7:C7"/>
    <mergeCell ref="A12:C13"/>
    <mergeCell ref="A28:C29"/>
    <mergeCell ref="A20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2026-04-27T20:35:41Z</dcterms:created>
  <dcterms:modified xmlns:dcterms="http://purl.org/dc/terms/" xmlns:xsi="http://www.w3.org/2001/XMLSchema-instance" xsi:type="dcterms:W3CDTF">2026-04-27T20:35:41Z</dcterms:modified>
</cp:coreProperties>
</file>